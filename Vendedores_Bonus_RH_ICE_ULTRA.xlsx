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.alves\Downloads\ICE_ULTRA\"/>
    </mc:Choice>
  </mc:AlternateContent>
  <xr:revisionPtr revIDLastSave="0" documentId="13_ncr:1_{12D57B6C-AB59-4865-B866-78207A4B3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king Geral - Volume" sheetId="1" r:id="rId1"/>
    <sheet name="Ranking Geral - Clientes" sheetId="2" r:id="rId2"/>
    <sheet name="Por Filial e Supervisor" sheetId="3" r:id="rId3"/>
    <sheet name="Resumo Filiais" sheetId="4" r:id="rId4"/>
  </sheets>
  <definedNames>
    <definedName name="_xlnm.Print_Titles" localSheetId="0">'Ranking Geral - Volume'!$1:$4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69" i="1" s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5" i="1"/>
  <c r="I10" i="4"/>
  <c r="H10" i="4"/>
  <c r="G10" i="4"/>
  <c r="F10" i="4"/>
  <c r="E10" i="4"/>
  <c r="D10" i="4"/>
  <c r="C10" i="4"/>
  <c r="B10" i="4"/>
  <c r="J69" i="2"/>
  <c r="I69" i="2"/>
  <c r="H69" i="2"/>
  <c r="G69" i="2"/>
  <c r="F69" i="2"/>
  <c r="E69" i="2"/>
  <c r="J69" i="1"/>
  <c r="I69" i="1"/>
  <c r="G69" i="1"/>
  <c r="F69" i="1"/>
  <c r="E69" i="1"/>
</calcChain>
</file>

<file path=xl/sharedStrings.xml><?xml version="1.0" encoding="utf-8"?>
<sst xmlns="http://schemas.openxmlformats.org/spreadsheetml/2006/main" count="781" uniqueCount="195">
  <si>
    <t>FECHAMENTO OFICIAL DE VENDAS — AÇÃO CRYSTAL ICE &amp; PETRA ULTRA (AGO/2026)</t>
  </si>
  <si>
    <t>Base auditada de vendas faturadas por RCA do Pedido (VEND-PED) • Ordenado por Volume Total (Caixas)</t>
  </si>
  <si>
    <t>Pos.</t>
  </si>
  <si>
    <t>Empresa / Filial</t>
  </si>
  <si>
    <t>Supervisor</t>
  </si>
  <si>
    <t>Vendedor (RCA)</t>
  </si>
  <si>
    <t>QTD Ultra</t>
  </si>
  <si>
    <t>QTD Ice</t>
  </si>
  <si>
    <t>QTD Ação (Total)</t>
  </si>
  <si>
    <t>CLI Ultra</t>
  </si>
  <si>
    <t>CLI Ice</t>
  </si>
  <si>
    <t>CLI Ação (Total)</t>
  </si>
  <si>
    <t>🥇 1º</t>
  </si>
  <si>
    <t>CD-MANAUS</t>
  </si>
  <si>
    <t>ERMESON BARBOSA DE SOUZA</t>
  </si>
  <si>
    <t>🥈 2º</t>
  </si>
  <si>
    <t>CD-MACAPA</t>
  </si>
  <si>
    <t>SUPERVISOR AS MACAPA</t>
  </si>
  <si>
    <t>CARLOS AUGUSTO DOS SANTOS MIRANDA</t>
  </si>
  <si>
    <t>🥉 3º</t>
  </si>
  <si>
    <t>CD-ITACOATIARA</t>
  </si>
  <si>
    <t>CADMIEL AQUINO DE SOUZA</t>
  </si>
  <si>
    <t>ROGERIO JOSE SIMOES</t>
  </si>
  <si>
    <t>4º</t>
  </si>
  <si>
    <t>JARLISON JUNIOR SOUZA AUZIER</t>
  </si>
  <si>
    <t>SANDERLEY MIGUEL DA SILVA ALMEIDA</t>
  </si>
  <si>
    <t>5º</t>
  </si>
  <si>
    <t>CD-BOA VISTA</t>
  </si>
  <si>
    <t>GILDEAN DA SILVA SANTOS</t>
  </si>
  <si>
    <t>ANANIAS LEANDRO DA SILVA</t>
  </si>
  <si>
    <t>6º</t>
  </si>
  <si>
    <t>BRUNO RENAN BADEIRA GOMES</t>
  </si>
  <si>
    <t>BRUNO RENAN BANDEIRA GOMES</t>
  </si>
  <si>
    <t>7º</t>
  </si>
  <si>
    <t>THIAGO LUIZ NEGREIROS</t>
  </si>
  <si>
    <t>GENESIS RICARDO DA COSTA</t>
  </si>
  <si>
    <t>8º</t>
  </si>
  <si>
    <t>RAFAEL DA SILVA OLIVEIRA</t>
  </si>
  <si>
    <t>FRANCISCO GLAUBERSON CUNHA BATISTA</t>
  </si>
  <si>
    <t>9º</t>
  </si>
  <si>
    <t>RAFAEL DE SOUZA ALVES</t>
  </si>
  <si>
    <t>10º</t>
  </si>
  <si>
    <t>DONIZETE PEREIRA SILVA</t>
  </si>
  <si>
    <t>11º</t>
  </si>
  <si>
    <t>EWERTON SOUZA DE SA PEREIRA</t>
  </si>
  <si>
    <t>VENDEDOR VAGO INTERIOR</t>
  </si>
  <si>
    <t>12º</t>
  </si>
  <si>
    <t>CAIO EDUARDO MARQUES DOS SANTOS</t>
  </si>
  <si>
    <t>13º</t>
  </si>
  <si>
    <t>ANTONIO CARLOS DINIZ JUNIOR</t>
  </si>
  <si>
    <t>14º</t>
  </si>
  <si>
    <t>MARCONE CARVALHO</t>
  </si>
  <si>
    <t>DIEGO VALE DA SILVA</t>
  </si>
  <si>
    <t>15º</t>
  </si>
  <si>
    <t>ELIVILSON DEMETRIO CAETANO</t>
  </si>
  <si>
    <t>16º</t>
  </si>
  <si>
    <t>HANS MULLER LISBOA DA SILVA</t>
  </si>
  <si>
    <t>17º</t>
  </si>
  <si>
    <t>HERIC MENEZES DE ARAGAO</t>
  </si>
  <si>
    <t>18º</t>
  </si>
  <si>
    <t>EDIOMAR GRIJO</t>
  </si>
  <si>
    <t>RENATO ABREU DE OLIVEIRA</t>
  </si>
  <si>
    <t>19º</t>
  </si>
  <si>
    <t>EVERTON DA ROCHA OLIVEIRA</t>
  </si>
  <si>
    <t>20º</t>
  </si>
  <si>
    <t>MAURICIO BRUNO NUNES LEMOS</t>
  </si>
  <si>
    <t>MARCELO DA COSTA CARVALHO</t>
  </si>
  <si>
    <t>21º</t>
  </si>
  <si>
    <t>RUI NASCIMENTO DA SILVA</t>
  </si>
  <si>
    <t>22º</t>
  </si>
  <si>
    <t>ILGLISSON FERREIRA DE SOUZA</t>
  </si>
  <si>
    <t>23º</t>
  </si>
  <si>
    <t>FRANCISCO DE ASSIS BARBOZA SILVA</t>
  </si>
  <si>
    <t>24º</t>
  </si>
  <si>
    <t>WILLIAM CRISTIANO COUTINHO FERREIRA</t>
  </si>
  <si>
    <t>25º</t>
  </si>
  <si>
    <t>GAUVIA DOS SANTOS DE LIMA</t>
  </si>
  <si>
    <t>26º</t>
  </si>
  <si>
    <t>JHONISON DE SOUZA SERRAO</t>
  </si>
  <si>
    <t>VILDES SOUSA FERREIRA</t>
  </si>
  <si>
    <t>27º</t>
  </si>
  <si>
    <t>HUMBERTO DO NASCIMENTO HOLANDA</t>
  </si>
  <si>
    <t>28º</t>
  </si>
  <si>
    <t>KENDY OSAKI GOIS</t>
  </si>
  <si>
    <t>29º</t>
  </si>
  <si>
    <t>THIAGO LUCATELLE SOUZA DE SOUZA</t>
  </si>
  <si>
    <t>30º</t>
  </si>
  <si>
    <t>LUCAS MATEUS REIS NASCIMENTO</t>
  </si>
  <si>
    <t>31º</t>
  </si>
  <si>
    <t>ALDINEY VALE DA SILVA</t>
  </si>
  <si>
    <t>32º</t>
  </si>
  <si>
    <t>KLEIBE JUNIOR SERRÃO VIANA</t>
  </si>
  <si>
    <t>33º</t>
  </si>
  <si>
    <t>ROBERT ANDRADE DE BRITO</t>
  </si>
  <si>
    <t>34º</t>
  </si>
  <si>
    <t>ERICK GIMACH GAMA</t>
  </si>
  <si>
    <t>35º</t>
  </si>
  <si>
    <t>JOSE SOARES LIMA NETO</t>
  </si>
  <si>
    <t>36º</t>
  </si>
  <si>
    <t>AILTON CESAR SOARES</t>
  </si>
  <si>
    <t>37º</t>
  </si>
  <si>
    <t>CD-PARINTINS</t>
  </si>
  <si>
    <t>ADSON BINDA GOMES</t>
  </si>
  <si>
    <t>MAISSON TAVARES FRANCO</t>
  </si>
  <si>
    <t>38º</t>
  </si>
  <si>
    <t>ALCIMAR BATISTA PANTOJA</t>
  </si>
  <si>
    <t>39º</t>
  </si>
  <si>
    <t>THIAGO DA SILVA MACEDO</t>
  </si>
  <si>
    <t>40º</t>
  </si>
  <si>
    <t>HAILTON OLIVEIRA ALMEIDA</t>
  </si>
  <si>
    <t>41º</t>
  </si>
  <si>
    <t>SERGIO PEREIRA DE SOUZA</t>
  </si>
  <si>
    <t>42º</t>
  </si>
  <si>
    <t>MACSUEL GOMES DA SILVA</t>
  </si>
  <si>
    <t>43º</t>
  </si>
  <si>
    <t>ALEX DIEGO SANTOS DE OLIVEIRA</t>
  </si>
  <si>
    <t>44º</t>
  </si>
  <si>
    <t>FERNANDA LEAL DE MELO</t>
  </si>
  <si>
    <t>45º</t>
  </si>
  <si>
    <t>GEAN RICHARD DA SILVA GAMA</t>
  </si>
  <si>
    <t>46º</t>
  </si>
  <si>
    <t>MARCIO NUNES SOUSA</t>
  </si>
  <si>
    <t>47º</t>
  </si>
  <si>
    <t>48º</t>
  </si>
  <si>
    <t>KLEILTON PORTO</t>
  </si>
  <si>
    <t>49º</t>
  </si>
  <si>
    <t>LEANDRO DO NASCIMENTO DUARTE</t>
  </si>
  <si>
    <t>50º</t>
  </si>
  <si>
    <t>WASHINGTON DAS CHAGAS OLIVEIRA</t>
  </si>
  <si>
    <t>51º</t>
  </si>
  <si>
    <t>ALDAIR FERREIRA VIEIRA</t>
  </si>
  <si>
    <t>52º</t>
  </si>
  <si>
    <t>JACKSON ARAÚJO DE OLIVEIRA</t>
  </si>
  <si>
    <t>53º</t>
  </si>
  <si>
    <t>DJAMES SILVA SANTOS</t>
  </si>
  <si>
    <t>54º</t>
  </si>
  <si>
    <t>ADRIANO SOUZA DA SILVA</t>
  </si>
  <si>
    <t>55º</t>
  </si>
  <si>
    <t>ANTONIO FERREIRA DE AGUIAR FILHO</t>
  </si>
  <si>
    <t>56º</t>
  </si>
  <si>
    <t>EDIVANILSON BARBODA DE SOUSA</t>
  </si>
  <si>
    <t>57º</t>
  </si>
  <si>
    <t>LAURO SABA SILVA DE SOUSA</t>
  </si>
  <si>
    <t>58º</t>
  </si>
  <si>
    <t>NAUHAN RYLRE DE SOUZA BRITO</t>
  </si>
  <si>
    <t>59º</t>
  </si>
  <si>
    <t>RAMON BARBOSA DOS SANTOS</t>
  </si>
  <si>
    <t>60º</t>
  </si>
  <si>
    <t>ALEXANDRE LEITE BRAUNA</t>
  </si>
  <si>
    <t>61º</t>
  </si>
  <si>
    <t>ALDENLUAN SOUZA DA SILVA</t>
  </si>
  <si>
    <t>62º</t>
  </si>
  <si>
    <t>WALDEMARINO GAMA FILHO</t>
  </si>
  <si>
    <t>63º</t>
  </si>
  <si>
    <t>64º</t>
  </si>
  <si>
    <t>CD-TABATINGA</t>
  </si>
  <si>
    <t>PEDRO PAULO SILVA DOS SANTOS</t>
  </si>
  <si>
    <t>RONILSON DOS SANTOS HWANSI</t>
  </si>
  <si>
    <t>TOTAL</t>
  </si>
  <si>
    <t>64 Vendedores</t>
  </si>
  <si>
    <t>RANKING GERAL POR COBERTURA DE CLIENTES — AÇÃO CRYSTAL ICE &amp; PETRA ULTRA (AGO/2026)</t>
  </si>
  <si>
    <t>Base auditada de vendas faturadas por RCA do Pedido (VEND-PED) • Ordenado por Clientes Únicos Atendidos (CLI Ação)</t>
  </si>
  <si>
    <t>DETALHAMENTO POR FILIAL E SUPERVISOR — VENDEDORES ORDENADOS POR VOLUME TOTAL</t>
  </si>
  <si>
    <t>Vendedor</t>
  </si>
  <si>
    <t>🏢 FILIAL: CD-BOA VISTA  (Total: 359 cx • 141 clis • 10 Vendedores)</t>
  </si>
  <si>
    <t xml:space="preserve">  👤 Supervisor: GILDEAN DA SILVA SANTOS  (355 cx • 140 clis • 9 vendedores)</t>
  </si>
  <si>
    <t xml:space="preserve">  👤 Supervisor: WALDEMARINO GAMA FILHO  (4 cx • 1 clis • 1 vendedores)</t>
  </si>
  <si>
    <t>🏢 FILIAL: CD-ITACOATIARA  (Total: 192 cx • 42 clis • 4 Vendedores)</t>
  </si>
  <si>
    <t xml:space="preserve">  👤 Supervisor: CADMIEL AQUINO DE SOUZA  (192 cx • 42 clis • 4 vendedores)</t>
  </si>
  <si>
    <t>🏢 FILIAL: CD-MACAPA  (Total: 535 cx • 157 clis • 15 Vendedores)</t>
  </si>
  <si>
    <t xml:space="preserve">  👤 Supervisor: EWERTON SOUZA DE SA PEREIRA  (155 cx • 49 clis • 3 vendedores)</t>
  </si>
  <si>
    <t xml:space="preserve">  👤 Supervisor: MAURICIO BRUNO NUNES LEMOS  (226 cx • 96 clis • 11 vendedores)</t>
  </si>
  <si>
    <t xml:space="preserve">  👤 Supervisor: SUPERVISOR AS MACAPA  (154 cx • 12 clis • 1 vendedores)</t>
  </si>
  <si>
    <t>🏢 FILIAL: CD-MANAUS  (Total: 1,199 cx • 520 clis • 32 Vendedores)</t>
  </si>
  <si>
    <t xml:space="preserve">  👤 Supervisor: BRUNO RENAN BADEIRA GOMES  (79 cx • 35 clis • 1 vendedores)</t>
  </si>
  <si>
    <t xml:space="preserve">  👤 Supervisor: EDIOMAR GRIJO  (138 cx • 91 clis • 6 vendedores)</t>
  </si>
  <si>
    <t xml:space="preserve">  👤 Supervisor: ERMESON BARBOSA DE SOUZA  (169 cx • 10 clis • 1 vendedores)</t>
  </si>
  <si>
    <t xml:space="preserve">  👤 Supervisor: JARLISON JUNIOR SOUZA AUZIER  (195 cx • 73 clis • 2 vendedores)</t>
  </si>
  <si>
    <t xml:space="preserve">  👤 Supervisor: JHONISON DE SOUZA SERRAO  (106 cx • 82 clis • 6 vendedores)</t>
  </si>
  <si>
    <t xml:space="preserve">  👤 Supervisor: MARCONE CARVALHO  (133 cx • 41 clis • 5 vendedores)</t>
  </si>
  <si>
    <t xml:space="preserve">  👤 Supervisor: RAFAEL DA SILVA OLIVEIRA  (254 cx • 153 clis • 7 vendedores)</t>
  </si>
  <si>
    <t xml:space="preserve">  👤 Supervisor: THIAGO LUIZ NEGREIROS  (125 cx • 35 clis • 4 vendedores)</t>
  </si>
  <si>
    <t>🏢 FILIAL: CD-PARINTINS  (Total: 33 cx • 13 clis • 2 Vendedores)</t>
  </si>
  <si>
    <t xml:space="preserve">  👤 Supervisor: ADSON BINDA GOMES  (33 cx • 13 clis • 2 vendedores)</t>
  </si>
  <si>
    <t>🏢 FILIAL: CD-TABATINGA  (Total: 2 cx • 2 clis • 1 Vendedores)</t>
  </si>
  <si>
    <t xml:space="preserve">  👤 Supervisor: PEDRO PAULO SILVA DOS SANTOS  (2 cx • 2 clis • 1 vendedores)</t>
  </si>
  <si>
    <t>RESUMO CONSOLIDADO POR FILIAL / EMPRESA</t>
  </si>
  <si>
    <t>Filial / Empresa</t>
  </si>
  <si>
    <t>Vendedores</t>
  </si>
  <si>
    <t>% Part. Volume</t>
  </si>
  <si>
    <t>Clientes Positivados</t>
  </si>
  <si>
    <t>Média cx / Vendedor</t>
  </si>
  <si>
    <t>Média Clis / Vendedor</t>
  </si>
  <si>
    <t>TOTAL GERAL</t>
  </si>
  <si>
    <t>PREMIAÇÃO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</si>
</sst>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#,##0.0"/>
  </numFmts>
  <fonts count="13" x14ac:knownFonts="1">
    <font>
      <sz val="11"/>
      <color theme="1"/>
      <name val="Calibri"/>
      <family val="2"/>
      <scheme val="minor"/>
    </font>
    <font>
      <b/>
      <sz val="14"/>
      <color rgb="FF164E35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4"/>
      <color rgb="FF1E3A5F"/>
      <name val="Segoe UI"/>
    </font>
    <font>
      <b/>
      <sz val="13"/>
      <color rgb="FF164E35"/>
      <name val="Segoe UI"/>
    </font>
    <font>
      <b/>
      <sz val="10"/>
      <color rgb="FF164E35"/>
      <name val="Segoe U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64E35"/>
        <bgColor rgb="FF164E35"/>
      </patternFill>
    </fill>
    <fill>
      <patternFill patternType="solid">
        <fgColor rgb="FFF8FAFC"/>
        <bgColor rgb="FFF8FAFC"/>
      </patternFill>
    </fill>
    <fill>
      <patternFill patternType="solid">
        <fgColor rgb="FF0F291E"/>
        <bgColor rgb="FF0F291E"/>
      </patternFill>
    </fill>
    <fill>
      <patternFill patternType="solid">
        <fgColor rgb="FF1E3A5F"/>
        <bgColor rgb="FF1E3A5F"/>
      </patternFill>
    </fill>
    <fill>
      <patternFill patternType="solid">
        <fgColor rgb="FF112233"/>
        <bgColor rgb="FF112233"/>
      </patternFill>
    </fill>
    <fill>
      <patternFill patternType="solid">
        <fgColor rgb="FF1E3A2F"/>
        <bgColor rgb="FF1E3A2F"/>
      </patternFill>
    </fill>
    <fill>
      <patternFill patternType="solid">
        <fgColor rgb="FFE2EFE7"/>
        <bgColor rgb="FFE2EF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3" fontId="3" fillId="4" borderId="1" xfId="0" applyNumberFormat="1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/>
    <xf numFmtId="3" fontId="3" fillId="6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3" fillId="4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8" fontId="12" fillId="3" borderId="1" xfId="0" applyNumberFormat="1" applyFont="1" applyFill="1" applyBorder="1" applyAlignment="1">
      <alignment horizontal="right" vertical="center"/>
    </xf>
    <xf numFmtId="44" fontId="11" fillId="4" borderId="1" xfId="1" applyFont="1" applyFill="1" applyBorder="1"/>
    <xf numFmtId="3" fontId="5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zoomScale="60" zoomScaleNormal="100" workbookViewId="0">
      <selection activeCell="G16" sqref="G16"/>
    </sheetView>
  </sheetViews>
  <sheetFormatPr defaultRowHeight="14.4" x14ac:dyDescent="0.3"/>
  <cols>
    <col min="1" max="1" width="12" customWidth="1"/>
    <col min="2" max="2" width="18" customWidth="1"/>
    <col min="3" max="3" width="33.77734375" bestFit="1" customWidth="1"/>
    <col min="4" max="4" width="41.44140625" bestFit="1" customWidth="1"/>
    <col min="5" max="6" width="16" customWidth="1"/>
    <col min="7" max="7" width="20" customWidth="1"/>
    <col min="8" max="8" width="16" style="34" customWidth="1"/>
    <col min="9" max="10" width="16" hidden="1" customWidth="1"/>
  </cols>
  <sheetData>
    <row r="1" spans="1:10" ht="34.950000000000003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9.95" customHeight="1" x14ac:dyDescent="0.3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33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35" t="s">
        <v>194</v>
      </c>
      <c r="I4" s="1" t="s">
        <v>10</v>
      </c>
      <c r="J4" s="1" t="s">
        <v>11</v>
      </c>
    </row>
    <row r="5" spans="1:10" ht="19.95" customHeight="1" x14ac:dyDescent="0.3">
      <c r="A5" s="2" t="s">
        <v>12</v>
      </c>
      <c r="B5" s="3" t="s">
        <v>13</v>
      </c>
      <c r="C5" s="3" t="s">
        <v>14</v>
      </c>
      <c r="D5" s="3" t="s">
        <v>14</v>
      </c>
      <c r="E5" s="38">
        <v>130</v>
      </c>
      <c r="F5" s="38">
        <v>39</v>
      </c>
      <c r="G5" s="39">
        <v>169</v>
      </c>
      <c r="H5" s="36">
        <f>G5</f>
        <v>169</v>
      </c>
      <c r="I5" s="4">
        <v>8</v>
      </c>
      <c r="J5" s="5">
        <v>10</v>
      </c>
    </row>
    <row r="6" spans="1:10" ht="19.95" customHeight="1" x14ac:dyDescent="0.3">
      <c r="A6" s="6" t="s">
        <v>15</v>
      </c>
      <c r="B6" s="7" t="s">
        <v>16</v>
      </c>
      <c r="C6" s="7" t="s">
        <v>17</v>
      </c>
      <c r="D6" s="7" t="s">
        <v>18</v>
      </c>
      <c r="E6" s="40">
        <v>154</v>
      </c>
      <c r="F6" s="40">
        <v>0</v>
      </c>
      <c r="G6" s="41">
        <v>154</v>
      </c>
      <c r="H6" s="36">
        <f t="shared" ref="H6:H68" si="0">G6</f>
        <v>154</v>
      </c>
      <c r="I6" s="8">
        <v>0</v>
      </c>
      <c r="J6" s="9">
        <v>12</v>
      </c>
    </row>
    <row r="7" spans="1:10" ht="19.95" customHeight="1" x14ac:dyDescent="0.3">
      <c r="A7" s="2" t="s">
        <v>19</v>
      </c>
      <c r="B7" s="3" t="s">
        <v>20</v>
      </c>
      <c r="C7" s="3" t="s">
        <v>21</v>
      </c>
      <c r="D7" s="3" t="s">
        <v>22</v>
      </c>
      <c r="E7" s="38">
        <v>74</v>
      </c>
      <c r="F7" s="38">
        <v>60</v>
      </c>
      <c r="G7" s="39">
        <v>134</v>
      </c>
      <c r="H7" s="36">
        <f t="shared" si="0"/>
        <v>134</v>
      </c>
      <c r="I7" s="4">
        <v>9</v>
      </c>
      <c r="J7" s="5">
        <v>23</v>
      </c>
    </row>
    <row r="8" spans="1:10" ht="19.95" customHeight="1" x14ac:dyDescent="0.3">
      <c r="A8" s="6" t="s">
        <v>23</v>
      </c>
      <c r="B8" s="7" t="s">
        <v>13</v>
      </c>
      <c r="C8" s="7" t="s">
        <v>24</v>
      </c>
      <c r="D8" s="7" t="s">
        <v>25</v>
      </c>
      <c r="E8" s="40">
        <v>128</v>
      </c>
      <c r="F8" s="40">
        <v>4</v>
      </c>
      <c r="G8" s="41">
        <v>132</v>
      </c>
      <c r="H8" s="36">
        <f t="shared" si="0"/>
        <v>132</v>
      </c>
      <c r="I8" s="8">
        <v>4</v>
      </c>
      <c r="J8" s="9">
        <v>38</v>
      </c>
    </row>
    <row r="9" spans="1:10" ht="19.95" customHeight="1" x14ac:dyDescent="0.3">
      <c r="A9" s="2" t="s">
        <v>26</v>
      </c>
      <c r="B9" s="3" t="s">
        <v>27</v>
      </c>
      <c r="C9" s="3" t="s">
        <v>28</v>
      </c>
      <c r="D9" s="3" t="s">
        <v>29</v>
      </c>
      <c r="E9" s="38">
        <v>46</v>
      </c>
      <c r="F9" s="38">
        <v>33</v>
      </c>
      <c r="G9" s="39">
        <v>79</v>
      </c>
      <c r="H9" s="36">
        <f t="shared" si="0"/>
        <v>79</v>
      </c>
      <c r="I9" s="4">
        <v>9</v>
      </c>
      <c r="J9" s="5">
        <v>21</v>
      </c>
    </row>
    <row r="10" spans="1:10" ht="19.95" customHeight="1" x14ac:dyDescent="0.3">
      <c r="A10" s="6" t="s">
        <v>30</v>
      </c>
      <c r="B10" s="7" t="s">
        <v>13</v>
      </c>
      <c r="C10" s="7" t="s">
        <v>31</v>
      </c>
      <c r="D10" s="7" t="s">
        <v>32</v>
      </c>
      <c r="E10" s="40">
        <v>37</v>
      </c>
      <c r="F10" s="40">
        <v>42</v>
      </c>
      <c r="G10" s="41">
        <v>79</v>
      </c>
      <c r="H10" s="36">
        <f t="shared" si="0"/>
        <v>79</v>
      </c>
      <c r="I10" s="8">
        <v>28</v>
      </c>
      <c r="J10" s="9">
        <v>35</v>
      </c>
    </row>
    <row r="11" spans="1:10" ht="19.95" customHeight="1" x14ac:dyDescent="0.3">
      <c r="A11" s="2" t="s">
        <v>33</v>
      </c>
      <c r="B11" s="3" t="s">
        <v>13</v>
      </c>
      <c r="C11" s="3" t="s">
        <v>34</v>
      </c>
      <c r="D11" s="3" t="s">
        <v>35</v>
      </c>
      <c r="E11" s="38">
        <v>72</v>
      </c>
      <c r="F11" s="38">
        <v>1</v>
      </c>
      <c r="G11" s="39">
        <v>73</v>
      </c>
      <c r="H11" s="36">
        <f t="shared" si="0"/>
        <v>73</v>
      </c>
      <c r="I11" s="4">
        <v>1</v>
      </c>
      <c r="J11" s="5">
        <v>11</v>
      </c>
    </row>
    <row r="12" spans="1:10" ht="19.95" customHeight="1" x14ac:dyDescent="0.3">
      <c r="A12" s="6" t="s">
        <v>36</v>
      </c>
      <c r="B12" s="7" t="s">
        <v>13</v>
      </c>
      <c r="C12" s="7" t="s">
        <v>37</v>
      </c>
      <c r="D12" s="7" t="s">
        <v>38</v>
      </c>
      <c r="E12" s="40">
        <v>34</v>
      </c>
      <c r="F12" s="40">
        <v>30</v>
      </c>
      <c r="G12" s="41">
        <v>64</v>
      </c>
      <c r="H12" s="36">
        <f t="shared" si="0"/>
        <v>64</v>
      </c>
      <c r="I12" s="8">
        <v>13</v>
      </c>
      <c r="J12" s="9">
        <v>37</v>
      </c>
    </row>
    <row r="13" spans="1:10" ht="19.95" customHeight="1" x14ac:dyDescent="0.3">
      <c r="A13" s="2" t="s">
        <v>39</v>
      </c>
      <c r="B13" s="3" t="s">
        <v>13</v>
      </c>
      <c r="C13" s="3" t="s">
        <v>24</v>
      </c>
      <c r="D13" s="3" t="s">
        <v>40</v>
      </c>
      <c r="E13" s="38">
        <v>58</v>
      </c>
      <c r="F13" s="38">
        <v>5</v>
      </c>
      <c r="G13" s="39">
        <v>63</v>
      </c>
      <c r="H13" s="36">
        <f t="shared" si="0"/>
        <v>63</v>
      </c>
      <c r="I13" s="4">
        <v>5</v>
      </c>
      <c r="J13" s="5">
        <v>35</v>
      </c>
    </row>
    <row r="14" spans="1:10" ht="19.95" customHeight="1" x14ac:dyDescent="0.3">
      <c r="A14" s="6" t="s">
        <v>41</v>
      </c>
      <c r="B14" s="7" t="s">
        <v>27</v>
      </c>
      <c r="C14" s="7" t="s">
        <v>28</v>
      </c>
      <c r="D14" s="7" t="s">
        <v>42</v>
      </c>
      <c r="E14" s="40">
        <v>17</v>
      </c>
      <c r="F14" s="40">
        <v>45</v>
      </c>
      <c r="G14" s="41">
        <v>62</v>
      </c>
      <c r="H14" s="36">
        <f t="shared" si="0"/>
        <v>62</v>
      </c>
      <c r="I14" s="8">
        <v>11</v>
      </c>
      <c r="J14" s="9">
        <v>11</v>
      </c>
    </row>
    <row r="15" spans="1:10" ht="19.95" customHeight="1" x14ac:dyDescent="0.3">
      <c r="A15" s="2" t="s">
        <v>43</v>
      </c>
      <c r="B15" s="3" t="s">
        <v>16</v>
      </c>
      <c r="C15" s="3" t="s">
        <v>44</v>
      </c>
      <c r="D15" s="3" t="s">
        <v>45</v>
      </c>
      <c r="E15" s="38">
        <v>44</v>
      </c>
      <c r="F15" s="38">
        <v>16</v>
      </c>
      <c r="G15" s="39">
        <v>60</v>
      </c>
      <c r="H15" s="36">
        <f t="shared" si="0"/>
        <v>60</v>
      </c>
      <c r="I15" s="4">
        <v>8</v>
      </c>
      <c r="J15" s="5">
        <v>22</v>
      </c>
    </row>
    <row r="16" spans="1:10" ht="19.95" customHeight="1" x14ac:dyDescent="0.3">
      <c r="A16" s="6" t="s">
        <v>46</v>
      </c>
      <c r="B16" s="7" t="s">
        <v>16</v>
      </c>
      <c r="C16" s="7" t="s">
        <v>44</v>
      </c>
      <c r="D16" s="7" t="s">
        <v>47</v>
      </c>
      <c r="E16" s="40">
        <v>21</v>
      </c>
      <c r="F16" s="40">
        <v>27</v>
      </c>
      <c r="G16" s="41">
        <v>48</v>
      </c>
      <c r="H16" s="36">
        <f t="shared" si="0"/>
        <v>48</v>
      </c>
      <c r="I16" s="8">
        <v>3</v>
      </c>
      <c r="J16" s="9">
        <v>9</v>
      </c>
    </row>
    <row r="17" spans="1:10" ht="19.95" customHeight="1" x14ac:dyDescent="0.3">
      <c r="A17" s="2" t="s">
        <v>48</v>
      </c>
      <c r="B17" s="3" t="s">
        <v>16</v>
      </c>
      <c r="C17" s="3" t="s">
        <v>44</v>
      </c>
      <c r="D17" s="3" t="s">
        <v>49</v>
      </c>
      <c r="E17" s="38">
        <v>45</v>
      </c>
      <c r="F17" s="38">
        <v>2</v>
      </c>
      <c r="G17" s="39">
        <v>47</v>
      </c>
      <c r="H17" s="36">
        <f t="shared" si="0"/>
        <v>47</v>
      </c>
      <c r="I17" s="4">
        <v>2</v>
      </c>
      <c r="J17" s="5">
        <v>18</v>
      </c>
    </row>
    <row r="18" spans="1:10" ht="19.95" customHeight="1" x14ac:dyDescent="0.3">
      <c r="A18" s="6" t="s">
        <v>50</v>
      </c>
      <c r="B18" s="7" t="s">
        <v>13</v>
      </c>
      <c r="C18" s="7" t="s">
        <v>51</v>
      </c>
      <c r="D18" s="7" t="s">
        <v>52</v>
      </c>
      <c r="E18" s="40">
        <v>37</v>
      </c>
      <c r="F18" s="40">
        <v>10</v>
      </c>
      <c r="G18" s="41">
        <v>47</v>
      </c>
      <c r="H18" s="36">
        <f t="shared" si="0"/>
        <v>47</v>
      </c>
      <c r="I18" s="8">
        <v>9</v>
      </c>
      <c r="J18" s="9">
        <v>17</v>
      </c>
    </row>
    <row r="19" spans="1:10" ht="19.95" customHeight="1" x14ac:dyDescent="0.3">
      <c r="A19" s="2" t="s">
        <v>53</v>
      </c>
      <c r="B19" s="3" t="s">
        <v>27</v>
      </c>
      <c r="C19" s="3" t="s">
        <v>28</v>
      </c>
      <c r="D19" s="3" t="s">
        <v>54</v>
      </c>
      <c r="E19" s="38">
        <v>8</v>
      </c>
      <c r="F19" s="38">
        <v>37</v>
      </c>
      <c r="G19" s="39">
        <v>45</v>
      </c>
      <c r="H19" s="36">
        <f t="shared" si="0"/>
        <v>45</v>
      </c>
      <c r="I19" s="4">
        <v>20</v>
      </c>
      <c r="J19" s="5">
        <v>23</v>
      </c>
    </row>
    <row r="20" spans="1:10" ht="19.95" customHeight="1" x14ac:dyDescent="0.3">
      <c r="A20" s="6" t="s">
        <v>55</v>
      </c>
      <c r="B20" s="7" t="s">
        <v>27</v>
      </c>
      <c r="C20" s="7" t="s">
        <v>28</v>
      </c>
      <c r="D20" s="7" t="s">
        <v>56</v>
      </c>
      <c r="E20" s="40">
        <v>3</v>
      </c>
      <c r="F20" s="40">
        <v>40</v>
      </c>
      <c r="G20" s="41">
        <v>43</v>
      </c>
      <c r="H20" s="36">
        <f t="shared" si="0"/>
        <v>43</v>
      </c>
      <c r="I20" s="8">
        <v>22</v>
      </c>
      <c r="J20" s="9">
        <v>23</v>
      </c>
    </row>
    <row r="21" spans="1:10" ht="19.95" customHeight="1" x14ac:dyDescent="0.3">
      <c r="A21" s="2" t="s">
        <v>57</v>
      </c>
      <c r="B21" s="3" t="s">
        <v>13</v>
      </c>
      <c r="C21" s="3" t="s">
        <v>51</v>
      </c>
      <c r="D21" s="3" t="s">
        <v>58</v>
      </c>
      <c r="E21" s="38">
        <v>36</v>
      </c>
      <c r="F21" s="38">
        <v>6</v>
      </c>
      <c r="G21" s="39">
        <v>42</v>
      </c>
      <c r="H21" s="36">
        <f t="shared" si="0"/>
        <v>42</v>
      </c>
      <c r="I21" s="4">
        <v>5</v>
      </c>
      <c r="J21" s="5">
        <v>8</v>
      </c>
    </row>
    <row r="22" spans="1:10" ht="19.95" customHeight="1" x14ac:dyDescent="0.3">
      <c r="A22" s="6" t="s">
        <v>59</v>
      </c>
      <c r="B22" s="7" t="s">
        <v>13</v>
      </c>
      <c r="C22" s="7" t="s">
        <v>60</v>
      </c>
      <c r="D22" s="7" t="s">
        <v>61</v>
      </c>
      <c r="E22" s="40">
        <v>11</v>
      </c>
      <c r="F22" s="40">
        <v>30</v>
      </c>
      <c r="G22" s="41">
        <v>41</v>
      </c>
      <c r="H22" s="36">
        <f t="shared" si="0"/>
        <v>41</v>
      </c>
      <c r="I22" s="8">
        <v>22</v>
      </c>
      <c r="J22" s="9">
        <v>29</v>
      </c>
    </row>
    <row r="23" spans="1:10" ht="19.95" customHeight="1" x14ac:dyDescent="0.3">
      <c r="A23" s="2" t="s">
        <v>62</v>
      </c>
      <c r="B23" s="3" t="s">
        <v>13</v>
      </c>
      <c r="C23" s="3" t="s">
        <v>37</v>
      </c>
      <c r="D23" s="3" t="s">
        <v>63</v>
      </c>
      <c r="E23" s="38">
        <v>19</v>
      </c>
      <c r="F23" s="38">
        <v>21</v>
      </c>
      <c r="G23" s="39">
        <v>40</v>
      </c>
      <c r="H23" s="36">
        <f t="shared" si="0"/>
        <v>40</v>
      </c>
      <c r="I23" s="4">
        <v>11</v>
      </c>
      <c r="J23" s="5">
        <v>24</v>
      </c>
    </row>
    <row r="24" spans="1:10" ht="19.95" customHeight="1" x14ac:dyDescent="0.3">
      <c r="A24" s="6" t="s">
        <v>64</v>
      </c>
      <c r="B24" s="7" t="s">
        <v>16</v>
      </c>
      <c r="C24" s="7" t="s">
        <v>65</v>
      </c>
      <c r="D24" s="7" t="s">
        <v>66</v>
      </c>
      <c r="E24" s="40">
        <v>33</v>
      </c>
      <c r="F24" s="40">
        <v>6</v>
      </c>
      <c r="G24" s="41">
        <v>39</v>
      </c>
      <c r="H24" s="36">
        <f t="shared" si="0"/>
        <v>39</v>
      </c>
      <c r="I24" s="8">
        <v>4</v>
      </c>
      <c r="J24" s="9">
        <v>13</v>
      </c>
    </row>
    <row r="25" spans="1:10" ht="19.95" customHeight="1" x14ac:dyDescent="0.3">
      <c r="A25" s="2" t="s">
        <v>67</v>
      </c>
      <c r="B25" s="3" t="s">
        <v>27</v>
      </c>
      <c r="C25" s="3" t="s">
        <v>28</v>
      </c>
      <c r="D25" s="3" t="s">
        <v>68</v>
      </c>
      <c r="E25" s="38">
        <v>9</v>
      </c>
      <c r="F25" s="38">
        <v>30</v>
      </c>
      <c r="G25" s="39">
        <v>39</v>
      </c>
      <c r="H25" s="36">
        <f t="shared" si="0"/>
        <v>39</v>
      </c>
      <c r="I25" s="4">
        <v>13</v>
      </c>
      <c r="J25" s="5">
        <v>20</v>
      </c>
    </row>
    <row r="26" spans="1:10" ht="19.95" customHeight="1" x14ac:dyDescent="0.3">
      <c r="A26" s="6" t="s">
        <v>69</v>
      </c>
      <c r="B26" s="7" t="s">
        <v>13</v>
      </c>
      <c r="C26" s="7" t="s">
        <v>37</v>
      </c>
      <c r="D26" s="7" t="s">
        <v>70</v>
      </c>
      <c r="E26" s="40">
        <v>10</v>
      </c>
      <c r="F26" s="40">
        <v>26</v>
      </c>
      <c r="G26" s="41">
        <v>36</v>
      </c>
      <c r="H26" s="36">
        <f t="shared" si="0"/>
        <v>36</v>
      </c>
      <c r="I26" s="8">
        <v>18</v>
      </c>
      <c r="J26" s="9">
        <v>25</v>
      </c>
    </row>
    <row r="27" spans="1:10" ht="19.95" customHeight="1" x14ac:dyDescent="0.3">
      <c r="A27" s="2" t="s">
        <v>71</v>
      </c>
      <c r="B27" s="3" t="s">
        <v>13</v>
      </c>
      <c r="C27" s="3" t="s">
        <v>60</v>
      </c>
      <c r="D27" s="3" t="s">
        <v>72</v>
      </c>
      <c r="E27" s="38">
        <v>18</v>
      </c>
      <c r="F27" s="38">
        <v>17</v>
      </c>
      <c r="G27" s="39">
        <v>35</v>
      </c>
      <c r="H27" s="36">
        <f t="shared" si="0"/>
        <v>35</v>
      </c>
      <c r="I27" s="4">
        <v>11</v>
      </c>
      <c r="J27" s="5">
        <v>13</v>
      </c>
    </row>
    <row r="28" spans="1:10" ht="19.95" customHeight="1" x14ac:dyDescent="0.3">
      <c r="A28" s="6" t="s">
        <v>73</v>
      </c>
      <c r="B28" s="7" t="s">
        <v>16</v>
      </c>
      <c r="C28" s="7" t="s">
        <v>65</v>
      </c>
      <c r="D28" s="7" t="s">
        <v>74</v>
      </c>
      <c r="E28" s="40">
        <v>30</v>
      </c>
      <c r="F28" s="40">
        <v>4</v>
      </c>
      <c r="G28" s="41">
        <v>34</v>
      </c>
      <c r="H28" s="36">
        <f t="shared" si="0"/>
        <v>34</v>
      </c>
      <c r="I28" s="8">
        <v>2</v>
      </c>
      <c r="J28" s="9">
        <v>18</v>
      </c>
    </row>
    <row r="29" spans="1:10" ht="19.95" customHeight="1" x14ac:dyDescent="0.3">
      <c r="A29" s="2" t="s">
        <v>75</v>
      </c>
      <c r="B29" s="3" t="s">
        <v>13</v>
      </c>
      <c r="C29" s="3" t="s">
        <v>37</v>
      </c>
      <c r="D29" s="3" t="s">
        <v>76</v>
      </c>
      <c r="E29" s="38">
        <v>11</v>
      </c>
      <c r="F29" s="38">
        <v>20</v>
      </c>
      <c r="G29" s="39">
        <v>31</v>
      </c>
      <c r="H29" s="36">
        <f t="shared" si="0"/>
        <v>31</v>
      </c>
      <c r="I29" s="4">
        <v>17</v>
      </c>
      <c r="J29" s="5">
        <v>23</v>
      </c>
    </row>
    <row r="30" spans="1:10" ht="19.95" customHeight="1" x14ac:dyDescent="0.3">
      <c r="A30" s="6" t="s">
        <v>77</v>
      </c>
      <c r="B30" s="7" t="s">
        <v>13</v>
      </c>
      <c r="C30" s="7" t="s">
        <v>78</v>
      </c>
      <c r="D30" s="7" t="s">
        <v>79</v>
      </c>
      <c r="E30" s="40">
        <v>28</v>
      </c>
      <c r="F30" s="40">
        <v>2</v>
      </c>
      <c r="G30" s="41">
        <v>30</v>
      </c>
      <c r="H30" s="36">
        <f t="shared" si="0"/>
        <v>30</v>
      </c>
      <c r="I30" s="8">
        <v>1</v>
      </c>
      <c r="J30" s="9">
        <v>17</v>
      </c>
    </row>
    <row r="31" spans="1:10" ht="19.95" customHeight="1" x14ac:dyDescent="0.3">
      <c r="A31" s="2" t="s">
        <v>80</v>
      </c>
      <c r="B31" s="3" t="s">
        <v>13</v>
      </c>
      <c r="C31" s="3" t="s">
        <v>34</v>
      </c>
      <c r="D31" s="3" t="s">
        <v>81</v>
      </c>
      <c r="E31" s="38">
        <v>27</v>
      </c>
      <c r="F31" s="38">
        <v>3</v>
      </c>
      <c r="G31" s="39">
        <v>30</v>
      </c>
      <c r="H31" s="36">
        <f t="shared" si="0"/>
        <v>30</v>
      </c>
      <c r="I31" s="4">
        <v>2</v>
      </c>
      <c r="J31" s="5">
        <v>9</v>
      </c>
    </row>
    <row r="32" spans="1:10" ht="19.95" customHeight="1" x14ac:dyDescent="0.3">
      <c r="A32" s="6" t="s">
        <v>82</v>
      </c>
      <c r="B32" s="7" t="s">
        <v>20</v>
      </c>
      <c r="C32" s="7" t="s">
        <v>21</v>
      </c>
      <c r="D32" s="7" t="s">
        <v>83</v>
      </c>
      <c r="E32" s="40">
        <v>16</v>
      </c>
      <c r="F32" s="40">
        <v>14</v>
      </c>
      <c r="G32" s="41">
        <v>30</v>
      </c>
      <c r="H32" s="36">
        <f t="shared" si="0"/>
        <v>30</v>
      </c>
      <c r="I32" s="8">
        <v>8</v>
      </c>
      <c r="J32" s="9">
        <v>10</v>
      </c>
    </row>
    <row r="33" spans="1:10" ht="19.95" customHeight="1" x14ac:dyDescent="0.3">
      <c r="A33" s="2" t="s">
        <v>84</v>
      </c>
      <c r="B33" s="3" t="s">
        <v>13</v>
      </c>
      <c r="C33" s="3" t="s">
        <v>37</v>
      </c>
      <c r="D33" s="3" t="s">
        <v>85</v>
      </c>
      <c r="E33" s="38">
        <v>12</v>
      </c>
      <c r="F33" s="38">
        <v>18</v>
      </c>
      <c r="G33" s="39">
        <v>30</v>
      </c>
      <c r="H33" s="36">
        <f t="shared" si="0"/>
        <v>30</v>
      </c>
      <c r="I33" s="4">
        <v>10</v>
      </c>
      <c r="J33" s="5">
        <v>17</v>
      </c>
    </row>
    <row r="34" spans="1:10" ht="19.95" customHeight="1" x14ac:dyDescent="0.3">
      <c r="A34" s="6" t="s">
        <v>86</v>
      </c>
      <c r="B34" s="7" t="s">
        <v>16</v>
      </c>
      <c r="C34" s="7" t="s">
        <v>65</v>
      </c>
      <c r="D34" s="7" t="s">
        <v>87</v>
      </c>
      <c r="E34" s="40">
        <v>29</v>
      </c>
      <c r="F34" s="40">
        <v>0</v>
      </c>
      <c r="G34" s="41">
        <v>29</v>
      </c>
      <c r="H34" s="36">
        <f t="shared" si="0"/>
        <v>29</v>
      </c>
      <c r="I34" s="8">
        <v>0</v>
      </c>
      <c r="J34" s="9">
        <v>3</v>
      </c>
    </row>
    <row r="35" spans="1:10" ht="19.95" customHeight="1" x14ac:dyDescent="0.3">
      <c r="A35" s="2" t="s">
        <v>88</v>
      </c>
      <c r="B35" s="3" t="s">
        <v>13</v>
      </c>
      <c r="C35" s="3" t="s">
        <v>37</v>
      </c>
      <c r="D35" s="3" t="s">
        <v>89</v>
      </c>
      <c r="E35" s="38">
        <v>27</v>
      </c>
      <c r="F35" s="38">
        <v>2</v>
      </c>
      <c r="G35" s="39">
        <v>29</v>
      </c>
      <c r="H35" s="36">
        <f t="shared" si="0"/>
        <v>29</v>
      </c>
      <c r="I35" s="4">
        <v>1</v>
      </c>
      <c r="J35" s="5">
        <v>13</v>
      </c>
    </row>
    <row r="36" spans="1:10" ht="19.95" customHeight="1" x14ac:dyDescent="0.3">
      <c r="A36" s="6" t="s">
        <v>90</v>
      </c>
      <c r="B36" s="7" t="s">
        <v>16</v>
      </c>
      <c r="C36" s="7" t="s">
        <v>65</v>
      </c>
      <c r="D36" s="7" t="s">
        <v>91</v>
      </c>
      <c r="E36" s="40">
        <v>24</v>
      </c>
      <c r="F36" s="40">
        <v>5</v>
      </c>
      <c r="G36" s="41">
        <v>29</v>
      </c>
      <c r="H36" s="36">
        <f t="shared" si="0"/>
        <v>29</v>
      </c>
      <c r="I36" s="8">
        <v>1</v>
      </c>
      <c r="J36" s="9">
        <v>3</v>
      </c>
    </row>
    <row r="37" spans="1:10" ht="19.95" customHeight="1" x14ac:dyDescent="0.3">
      <c r="A37" s="2" t="s">
        <v>92</v>
      </c>
      <c r="B37" s="3" t="s">
        <v>13</v>
      </c>
      <c r="C37" s="3" t="s">
        <v>78</v>
      </c>
      <c r="D37" s="3" t="s">
        <v>93</v>
      </c>
      <c r="E37" s="38">
        <v>26</v>
      </c>
      <c r="F37" s="38">
        <v>2</v>
      </c>
      <c r="G37" s="39">
        <v>28</v>
      </c>
      <c r="H37" s="36">
        <f t="shared" si="0"/>
        <v>28</v>
      </c>
      <c r="I37" s="4">
        <v>2</v>
      </c>
      <c r="J37" s="5">
        <v>25</v>
      </c>
    </row>
    <row r="38" spans="1:10" ht="19.95" customHeight="1" x14ac:dyDescent="0.3">
      <c r="A38" s="6" t="s">
        <v>94</v>
      </c>
      <c r="B38" s="7" t="s">
        <v>13</v>
      </c>
      <c r="C38" s="7" t="s">
        <v>51</v>
      </c>
      <c r="D38" s="7" t="s">
        <v>95</v>
      </c>
      <c r="E38" s="40">
        <v>23</v>
      </c>
      <c r="F38" s="40">
        <v>4</v>
      </c>
      <c r="G38" s="41">
        <v>27</v>
      </c>
      <c r="H38" s="36">
        <f t="shared" si="0"/>
        <v>27</v>
      </c>
      <c r="I38" s="8">
        <v>2</v>
      </c>
      <c r="J38" s="9">
        <v>7</v>
      </c>
    </row>
    <row r="39" spans="1:10" ht="19.95" customHeight="1" x14ac:dyDescent="0.3">
      <c r="A39" s="2" t="s">
        <v>96</v>
      </c>
      <c r="B39" s="3" t="s">
        <v>27</v>
      </c>
      <c r="C39" s="3" t="s">
        <v>28</v>
      </c>
      <c r="D39" s="3" t="s">
        <v>97</v>
      </c>
      <c r="E39" s="38">
        <v>22</v>
      </c>
      <c r="F39" s="38">
        <v>5</v>
      </c>
      <c r="G39" s="39">
        <v>27</v>
      </c>
      <c r="H39" s="36">
        <f t="shared" si="0"/>
        <v>27</v>
      </c>
      <c r="I39" s="4">
        <v>4</v>
      </c>
      <c r="J39" s="5">
        <v>11</v>
      </c>
    </row>
    <row r="40" spans="1:10" ht="19.95" customHeight="1" x14ac:dyDescent="0.3">
      <c r="A40" s="6" t="s">
        <v>98</v>
      </c>
      <c r="B40" s="7" t="s">
        <v>13</v>
      </c>
      <c r="C40" s="7" t="s">
        <v>60</v>
      </c>
      <c r="D40" s="7" t="s">
        <v>99</v>
      </c>
      <c r="E40" s="40">
        <v>18</v>
      </c>
      <c r="F40" s="40">
        <v>7</v>
      </c>
      <c r="G40" s="41">
        <v>25</v>
      </c>
      <c r="H40" s="36">
        <f t="shared" si="0"/>
        <v>25</v>
      </c>
      <c r="I40" s="8">
        <v>6</v>
      </c>
      <c r="J40" s="9">
        <v>21</v>
      </c>
    </row>
    <row r="41" spans="1:10" ht="19.95" customHeight="1" x14ac:dyDescent="0.3">
      <c r="A41" s="2" t="s">
        <v>100</v>
      </c>
      <c r="B41" s="3" t="s">
        <v>101</v>
      </c>
      <c r="C41" s="3" t="s">
        <v>102</v>
      </c>
      <c r="D41" s="3" t="s">
        <v>103</v>
      </c>
      <c r="E41" s="38">
        <v>14</v>
      </c>
      <c r="F41" s="38">
        <v>11</v>
      </c>
      <c r="G41" s="39">
        <v>25</v>
      </c>
      <c r="H41" s="36">
        <f t="shared" si="0"/>
        <v>25</v>
      </c>
      <c r="I41" s="4">
        <v>4</v>
      </c>
      <c r="J41" s="5">
        <v>10</v>
      </c>
    </row>
    <row r="42" spans="1:10" ht="19.95" customHeight="1" x14ac:dyDescent="0.3">
      <c r="A42" s="6" t="s">
        <v>104</v>
      </c>
      <c r="B42" s="7" t="s">
        <v>13</v>
      </c>
      <c r="C42" s="7" t="s">
        <v>37</v>
      </c>
      <c r="D42" s="7" t="s">
        <v>105</v>
      </c>
      <c r="E42" s="40">
        <v>19</v>
      </c>
      <c r="F42" s="40">
        <v>5</v>
      </c>
      <c r="G42" s="41">
        <v>24</v>
      </c>
      <c r="H42" s="36">
        <f t="shared" si="0"/>
        <v>24</v>
      </c>
      <c r="I42" s="8">
        <v>3</v>
      </c>
      <c r="J42" s="9">
        <v>14</v>
      </c>
    </row>
    <row r="43" spans="1:10" ht="19.95" customHeight="1" x14ac:dyDescent="0.3">
      <c r="A43" s="2" t="s">
        <v>106</v>
      </c>
      <c r="B43" s="3" t="s">
        <v>27</v>
      </c>
      <c r="C43" s="3" t="s">
        <v>28</v>
      </c>
      <c r="D43" s="3" t="s">
        <v>107</v>
      </c>
      <c r="E43" s="38">
        <v>6</v>
      </c>
      <c r="F43" s="38">
        <v>18</v>
      </c>
      <c r="G43" s="39">
        <v>24</v>
      </c>
      <c r="H43" s="36">
        <f t="shared" si="0"/>
        <v>24</v>
      </c>
      <c r="I43" s="4">
        <v>10</v>
      </c>
      <c r="J43" s="5">
        <v>14</v>
      </c>
    </row>
    <row r="44" spans="1:10" ht="19.95" customHeight="1" x14ac:dyDescent="0.3">
      <c r="A44" s="6" t="s">
        <v>108</v>
      </c>
      <c r="B44" s="7" t="s">
        <v>16</v>
      </c>
      <c r="C44" s="7" t="s">
        <v>65</v>
      </c>
      <c r="D44" s="7" t="s">
        <v>109</v>
      </c>
      <c r="E44" s="40">
        <v>16</v>
      </c>
      <c r="F44" s="40">
        <v>7</v>
      </c>
      <c r="G44" s="41">
        <v>23</v>
      </c>
      <c r="H44" s="36">
        <f t="shared" si="0"/>
        <v>23</v>
      </c>
      <c r="I44" s="8">
        <v>6</v>
      </c>
      <c r="J44" s="9">
        <v>13</v>
      </c>
    </row>
    <row r="45" spans="1:10" ht="19.95" customHeight="1" x14ac:dyDescent="0.3">
      <c r="A45" s="2" t="s">
        <v>110</v>
      </c>
      <c r="B45" s="3" t="s">
        <v>20</v>
      </c>
      <c r="C45" s="3" t="s">
        <v>21</v>
      </c>
      <c r="D45" s="3" t="s">
        <v>111</v>
      </c>
      <c r="E45" s="38">
        <v>9</v>
      </c>
      <c r="F45" s="38">
        <v>12</v>
      </c>
      <c r="G45" s="39">
        <v>21</v>
      </c>
      <c r="H45" s="36">
        <f t="shared" si="0"/>
        <v>21</v>
      </c>
      <c r="I45" s="4">
        <v>2</v>
      </c>
      <c r="J45" s="5">
        <v>6</v>
      </c>
    </row>
    <row r="46" spans="1:10" ht="19.95" customHeight="1" x14ac:dyDescent="0.3">
      <c r="A46" s="6" t="s">
        <v>112</v>
      </c>
      <c r="B46" s="7" t="s">
        <v>16</v>
      </c>
      <c r="C46" s="7" t="s">
        <v>65</v>
      </c>
      <c r="D46" s="7" t="s">
        <v>113</v>
      </c>
      <c r="E46" s="40">
        <v>15</v>
      </c>
      <c r="F46" s="40">
        <v>5</v>
      </c>
      <c r="G46" s="41">
        <v>20</v>
      </c>
      <c r="H46" s="36">
        <f t="shared" si="0"/>
        <v>20</v>
      </c>
      <c r="I46" s="8">
        <v>2</v>
      </c>
      <c r="J46" s="9">
        <v>10</v>
      </c>
    </row>
    <row r="47" spans="1:10" ht="19.95" customHeight="1" x14ac:dyDescent="0.3">
      <c r="A47" s="2" t="s">
        <v>114</v>
      </c>
      <c r="B47" s="3" t="s">
        <v>13</v>
      </c>
      <c r="C47" s="3" t="s">
        <v>60</v>
      </c>
      <c r="D47" s="3" t="s">
        <v>115</v>
      </c>
      <c r="E47" s="38">
        <v>12</v>
      </c>
      <c r="F47" s="38">
        <v>7</v>
      </c>
      <c r="G47" s="39">
        <v>19</v>
      </c>
      <c r="H47" s="36">
        <f t="shared" si="0"/>
        <v>19</v>
      </c>
      <c r="I47" s="4">
        <v>6</v>
      </c>
      <c r="J47" s="5">
        <v>13</v>
      </c>
    </row>
    <row r="48" spans="1:10" ht="19.95" customHeight="1" x14ac:dyDescent="0.3">
      <c r="A48" s="6" t="s">
        <v>116</v>
      </c>
      <c r="B48" s="7" t="s">
        <v>27</v>
      </c>
      <c r="C48" s="7" t="s">
        <v>28</v>
      </c>
      <c r="D48" s="7" t="s">
        <v>117</v>
      </c>
      <c r="E48" s="40">
        <v>9</v>
      </c>
      <c r="F48" s="40">
        <v>10</v>
      </c>
      <c r="G48" s="41">
        <v>19</v>
      </c>
      <c r="H48" s="36">
        <f t="shared" si="0"/>
        <v>19</v>
      </c>
      <c r="I48" s="8">
        <v>3</v>
      </c>
      <c r="J48" s="9">
        <v>7</v>
      </c>
    </row>
    <row r="49" spans="1:10" ht="19.95" customHeight="1" x14ac:dyDescent="0.3">
      <c r="A49" s="2" t="s">
        <v>118</v>
      </c>
      <c r="B49" s="3" t="s">
        <v>16</v>
      </c>
      <c r="C49" s="3" t="s">
        <v>65</v>
      </c>
      <c r="D49" s="3" t="s">
        <v>119</v>
      </c>
      <c r="E49" s="38">
        <v>13</v>
      </c>
      <c r="F49" s="38">
        <v>4</v>
      </c>
      <c r="G49" s="39">
        <v>17</v>
      </c>
      <c r="H49" s="36">
        <f t="shared" si="0"/>
        <v>17</v>
      </c>
      <c r="I49" s="4">
        <v>3</v>
      </c>
      <c r="J49" s="5">
        <v>11</v>
      </c>
    </row>
    <row r="50" spans="1:10" ht="19.95" customHeight="1" x14ac:dyDescent="0.3">
      <c r="A50" s="6" t="s">
        <v>120</v>
      </c>
      <c r="B50" s="7" t="s">
        <v>27</v>
      </c>
      <c r="C50" s="7" t="s">
        <v>28</v>
      </c>
      <c r="D50" s="7" t="s">
        <v>121</v>
      </c>
      <c r="E50" s="40">
        <v>7</v>
      </c>
      <c r="F50" s="40">
        <v>10</v>
      </c>
      <c r="G50" s="41">
        <v>17</v>
      </c>
      <c r="H50" s="36">
        <f t="shared" si="0"/>
        <v>17</v>
      </c>
      <c r="I50" s="8">
        <v>7</v>
      </c>
      <c r="J50" s="9">
        <v>10</v>
      </c>
    </row>
    <row r="51" spans="1:10" ht="19.95" customHeight="1" x14ac:dyDescent="0.3">
      <c r="A51" s="2" t="s">
        <v>122</v>
      </c>
      <c r="B51" s="3" t="s">
        <v>13</v>
      </c>
      <c r="C51" s="3" t="s">
        <v>78</v>
      </c>
      <c r="D51" s="3" t="s">
        <v>78</v>
      </c>
      <c r="E51" s="38">
        <v>7</v>
      </c>
      <c r="F51" s="38">
        <v>10</v>
      </c>
      <c r="G51" s="39">
        <v>17</v>
      </c>
      <c r="H51" s="36">
        <f t="shared" si="0"/>
        <v>17</v>
      </c>
      <c r="I51" s="4">
        <v>9</v>
      </c>
      <c r="J51" s="5">
        <v>16</v>
      </c>
    </row>
    <row r="52" spans="1:10" ht="19.95" customHeight="1" x14ac:dyDescent="0.3">
      <c r="A52" s="6" t="s">
        <v>123</v>
      </c>
      <c r="B52" s="7" t="s">
        <v>16</v>
      </c>
      <c r="C52" s="7" t="s">
        <v>65</v>
      </c>
      <c r="D52" s="7" t="s">
        <v>124</v>
      </c>
      <c r="E52" s="40">
        <v>11</v>
      </c>
      <c r="F52" s="40">
        <v>3</v>
      </c>
      <c r="G52" s="41">
        <v>14</v>
      </c>
      <c r="H52" s="36">
        <f t="shared" si="0"/>
        <v>14</v>
      </c>
      <c r="I52" s="8">
        <v>3</v>
      </c>
      <c r="J52" s="9">
        <v>11</v>
      </c>
    </row>
    <row r="53" spans="1:10" ht="19.95" customHeight="1" x14ac:dyDescent="0.3">
      <c r="A53" s="2" t="s">
        <v>125</v>
      </c>
      <c r="B53" s="3" t="s">
        <v>13</v>
      </c>
      <c r="C53" s="3" t="s">
        <v>78</v>
      </c>
      <c r="D53" s="3" t="s">
        <v>126</v>
      </c>
      <c r="E53" s="38">
        <v>11</v>
      </c>
      <c r="F53" s="38">
        <v>2</v>
      </c>
      <c r="G53" s="39">
        <v>13</v>
      </c>
      <c r="H53" s="36">
        <f t="shared" si="0"/>
        <v>13</v>
      </c>
      <c r="I53" s="4">
        <v>2</v>
      </c>
      <c r="J53" s="5">
        <v>10</v>
      </c>
    </row>
    <row r="54" spans="1:10" ht="19.95" customHeight="1" x14ac:dyDescent="0.3">
      <c r="A54" s="6" t="s">
        <v>127</v>
      </c>
      <c r="B54" s="7" t="s">
        <v>16</v>
      </c>
      <c r="C54" s="7" t="s">
        <v>65</v>
      </c>
      <c r="D54" s="7" t="s">
        <v>128</v>
      </c>
      <c r="E54" s="40">
        <v>8</v>
      </c>
      <c r="F54" s="40">
        <v>5</v>
      </c>
      <c r="G54" s="41">
        <v>13</v>
      </c>
      <c r="H54" s="36">
        <f t="shared" si="0"/>
        <v>13</v>
      </c>
      <c r="I54" s="8">
        <v>5</v>
      </c>
      <c r="J54" s="9">
        <v>9</v>
      </c>
    </row>
    <row r="55" spans="1:10" ht="19.95" customHeight="1" x14ac:dyDescent="0.3">
      <c r="A55" s="2" t="s">
        <v>129</v>
      </c>
      <c r="B55" s="3" t="s">
        <v>13</v>
      </c>
      <c r="C55" s="3" t="s">
        <v>34</v>
      </c>
      <c r="D55" s="3" t="s">
        <v>130</v>
      </c>
      <c r="E55" s="38">
        <v>10</v>
      </c>
      <c r="F55" s="38">
        <v>2</v>
      </c>
      <c r="G55" s="39">
        <v>12</v>
      </c>
      <c r="H55" s="36">
        <f t="shared" si="0"/>
        <v>12</v>
      </c>
      <c r="I55" s="4">
        <v>2</v>
      </c>
      <c r="J55" s="5">
        <v>8</v>
      </c>
    </row>
    <row r="56" spans="1:10" ht="19.95" customHeight="1" x14ac:dyDescent="0.3">
      <c r="A56" s="6" t="s">
        <v>131</v>
      </c>
      <c r="B56" s="7" t="s">
        <v>13</v>
      </c>
      <c r="C56" s="7" t="s">
        <v>78</v>
      </c>
      <c r="D56" s="7" t="s">
        <v>132</v>
      </c>
      <c r="E56" s="40">
        <v>8</v>
      </c>
      <c r="F56" s="40">
        <v>3</v>
      </c>
      <c r="G56" s="41">
        <v>11</v>
      </c>
      <c r="H56" s="36">
        <f t="shared" si="0"/>
        <v>11</v>
      </c>
      <c r="I56" s="8">
        <v>3</v>
      </c>
      <c r="J56" s="9">
        <v>8</v>
      </c>
    </row>
    <row r="57" spans="1:10" ht="19.95" customHeight="1" x14ac:dyDescent="0.3">
      <c r="A57" s="2" t="s">
        <v>133</v>
      </c>
      <c r="B57" s="3" t="s">
        <v>13</v>
      </c>
      <c r="C57" s="3" t="s">
        <v>34</v>
      </c>
      <c r="D57" s="3" t="s">
        <v>134</v>
      </c>
      <c r="E57" s="38">
        <v>10</v>
      </c>
      <c r="F57" s="38">
        <v>0</v>
      </c>
      <c r="G57" s="39">
        <v>10</v>
      </c>
      <c r="H57" s="36">
        <f t="shared" si="0"/>
        <v>10</v>
      </c>
      <c r="I57" s="4">
        <v>0</v>
      </c>
      <c r="J57" s="5">
        <v>7</v>
      </c>
    </row>
    <row r="58" spans="1:10" ht="19.95" customHeight="1" x14ac:dyDescent="0.3">
      <c r="A58" s="6" t="s">
        <v>135</v>
      </c>
      <c r="B58" s="7" t="s">
        <v>13</v>
      </c>
      <c r="C58" s="7" t="s">
        <v>60</v>
      </c>
      <c r="D58" s="7" t="s">
        <v>136</v>
      </c>
      <c r="E58" s="40">
        <v>5</v>
      </c>
      <c r="F58" s="40">
        <v>5</v>
      </c>
      <c r="G58" s="41">
        <v>10</v>
      </c>
      <c r="H58" s="36">
        <f t="shared" si="0"/>
        <v>10</v>
      </c>
      <c r="I58" s="8">
        <v>5</v>
      </c>
      <c r="J58" s="9">
        <v>10</v>
      </c>
    </row>
    <row r="59" spans="1:10" ht="19.95" customHeight="1" x14ac:dyDescent="0.3">
      <c r="A59" s="2" t="s">
        <v>137</v>
      </c>
      <c r="B59" s="3" t="s">
        <v>13</v>
      </c>
      <c r="C59" s="3" t="s">
        <v>51</v>
      </c>
      <c r="D59" s="3" t="s">
        <v>138</v>
      </c>
      <c r="E59" s="38">
        <v>3</v>
      </c>
      <c r="F59" s="38">
        <v>7</v>
      </c>
      <c r="G59" s="39">
        <v>10</v>
      </c>
      <c r="H59" s="36">
        <f t="shared" si="0"/>
        <v>10</v>
      </c>
      <c r="I59" s="4">
        <v>6</v>
      </c>
      <c r="J59" s="5">
        <v>7</v>
      </c>
    </row>
    <row r="60" spans="1:10" ht="19.95" customHeight="1" x14ac:dyDescent="0.3">
      <c r="A60" s="6" t="s">
        <v>139</v>
      </c>
      <c r="B60" s="7" t="s">
        <v>101</v>
      </c>
      <c r="C60" s="7" t="s">
        <v>102</v>
      </c>
      <c r="D60" s="7" t="s">
        <v>140</v>
      </c>
      <c r="E60" s="40">
        <v>8</v>
      </c>
      <c r="F60" s="40">
        <v>0</v>
      </c>
      <c r="G60" s="41">
        <v>8</v>
      </c>
      <c r="H60" s="36">
        <f t="shared" si="0"/>
        <v>8</v>
      </c>
      <c r="I60" s="8">
        <v>0</v>
      </c>
      <c r="J60" s="9">
        <v>3</v>
      </c>
    </row>
    <row r="61" spans="1:10" ht="19.95" customHeight="1" x14ac:dyDescent="0.3">
      <c r="A61" s="2" t="s">
        <v>141</v>
      </c>
      <c r="B61" s="3" t="s">
        <v>13</v>
      </c>
      <c r="C61" s="3" t="s">
        <v>60</v>
      </c>
      <c r="D61" s="3" t="s">
        <v>142</v>
      </c>
      <c r="E61" s="38">
        <v>2</v>
      </c>
      <c r="F61" s="38">
        <v>6</v>
      </c>
      <c r="G61" s="39">
        <v>8</v>
      </c>
      <c r="H61" s="36">
        <f t="shared" si="0"/>
        <v>8</v>
      </c>
      <c r="I61" s="4">
        <v>3</v>
      </c>
      <c r="J61" s="5">
        <v>5</v>
      </c>
    </row>
    <row r="62" spans="1:10" ht="19.95" customHeight="1" x14ac:dyDescent="0.3">
      <c r="A62" s="6" t="s">
        <v>143</v>
      </c>
      <c r="B62" s="7" t="s">
        <v>20</v>
      </c>
      <c r="C62" s="7" t="s">
        <v>21</v>
      </c>
      <c r="D62" s="7" t="s">
        <v>144</v>
      </c>
      <c r="E62" s="40">
        <v>7</v>
      </c>
      <c r="F62" s="40">
        <v>0</v>
      </c>
      <c r="G62" s="41">
        <v>7</v>
      </c>
      <c r="H62" s="36">
        <f t="shared" si="0"/>
        <v>7</v>
      </c>
      <c r="I62" s="8">
        <v>0</v>
      </c>
      <c r="J62" s="9">
        <v>3</v>
      </c>
    </row>
    <row r="63" spans="1:10" ht="19.95" customHeight="1" x14ac:dyDescent="0.3">
      <c r="A63" s="2" t="s">
        <v>145</v>
      </c>
      <c r="B63" s="3" t="s">
        <v>13</v>
      </c>
      <c r="C63" s="3" t="s">
        <v>78</v>
      </c>
      <c r="D63" s="3" t="s">
        <v>146</v>
      </c>
      <c r="E63" s="38">
        <v>3</v>
      </c>
      <c r="F63" s="38">
        <v>4</v>
      </c>
      <c r="G63" s="39">
        <v>7</v>
      </c>
      <c r="H63" s="36">
        <f t="shared" si="0"/>
        <v>7</v>
      </c>
      <c r="I63" s="4">
        <v>3</v>
      </c>
      <c r="J63" s="5">
        <v>6</v>
      </c>
    </row>
    <row r="64" spans="1:10" ht="19.95" customHeight="1" x14ac:dyDescent="0.3">
      <c r="A64" s="6" t="s">
        <v>147</v>
      </c>
      <c r="B64" s="7" t="s">
        <v>13</v>
      </c>
      <c r="C64" s="7" t="s">
        <v>51</v>
      </c>
      <c r="D64" s="7" t="s">
        <v>148</v>
      </c>
      <c r="E64" s="40">
        <v>0</v>
      </c>
      <c r="F64" s="40">
        <v>7</v>
      </c>
      <c r="G64" s="41">
        <v>7</v>
      </c>
      <c r="H64" s="36">
        <f t="shared" si="0"/>
        <v>7</v>
      </c>
      <c r="I64" s="8">
        <v>2</v>
      </c>
      <c r="J64" s="9">
        <v>2</v>
      </c>
    </row>
    <row r="65" spans="1:10" ht="19.95" customHeight="1" x14ac:dyDescent="0.3">
      <c r="A65" s="2" t="s">
        <v>149</v>
      </c>
      <c r="B65" s="3" t="s">
        <v>16</v>
      </c>
      <c r="C65" s="3" t="s">
        <v>65</v>
      </c>
      <c r="D65" s="3" t="s">
        <v>150</v>
      </c>
      <c r="E65" s="38">
        <v>4</v>
      </c>
      <c r="F65" s="38">
        <v>1</v>
      </c>
      <c r="G65" s="39">
        <v>5</v>
      </c>
      <c r="H65" s="36">
        <f t="shared" si="0"/>
        <v>5</v>
      </c>
      <c r="I65" s="4">
        <v>1</v>
      </c>
      <c r="J65" s="5">
        <v>4</v>
      </c>
    </row>
    <row r="66" spans="1:10" ht="19.95" customHeight="1" x14ac:dyDescent="0.3">
      <c r="A66" s="6" t="s">
        <v>151</v>
      </c>
      <c r="B66" s="7" t="s">
        <v>27</v>
      </c>
      <c r="C66" s="7" t="s">
        <v>152</v>
      </c>
      <c r="D66" s="7" t="s">
        <v>152</v>
      </c>
      <c r="E66" s="40">
        <v>0</v>
      </c>
      <c r="F66" s="40">
        <v>4</v>
      </c>
      <c r="G66" s="41">
        <v>4</v>
      </c>
      <c r="H66" s="36">
        <f t="shared" si="0"/>
        <v>4</v>
      </c>
      <c r="I66" s="8">
        <v>1</v>
      </c>
      <c r="J66" s="9">
        <v>1</v>
      </c>
    </row>
    <row r="67" spans="1:10" ht="19.95" customHeight="1" x14ac:dyDescent="0.3">
      <c r="A67" s="2" t="s">
        <v>153</v>
      </c>
      <c r="B67" s="3" t="s">
        <v>16</v>
      </c>
      <c r="C67" s="3" t="s">
        <v>65</v>
      </c>
      <c r="D67" s="3" t="s">
        <v>65</v>
      </c>
      <c r="E67" s="38">
        <v>3</v>
      </c>
      <c r="F67" s="38">
        <v>0</v>
      </c>
      <c r="G67" s="39">
        <v>3</v>
      </c>
      <c r="H67" s="36">
        <f t="shared" si="0"/>
        <v>3</v>
      </c>
      <c r="I67" s="4">
        <v>0</v>
      </c>
      <c r="J67" s="5">
        <v>1</v>
      </c>
    </row>
    <row r="68" spans="1:10" ht="19.95" customHeight="1" x14ac:dyDescent="0.3">
      <c r="A68" s="6" t="s">
        <v>154</v>
      </c>
      <c r="B68" s="7" t="s">
        <v>155</v>
      </c>
      <c r="C68" s="7" t="s">
        <v>156</v>
      </c>
      <c r="D68" s="7" t="s">
        <v>157</v>
      </c>
      <c r="E68" s="40">
        <v>0</v>
      </c>
      <c r="F68" s="40">
        <v>2</v>
      </c>
      <c r="G68" s="41">
        <v>2</v>
      </c>
      <c r="H68" s="36">
        <f t="shared" si="0"/>
        <v>2</v>
      </c>
      <c r="I68" s="8">
        <v>2</v>
      </c>
      <c r="J68" s="9">
        <v>2</v>
      </c>
    </row>
    <row r="69" spans="1:10" ht="24" customHeight="1" x14ac:dyDescent="0.4">
      <c r="A69" s="10" t="s">
        <v>158</v>
      </c>
      <c r="B69" s="11" t="s">
        <v>159</v>
      </c>
      <c r="C69" s="12"/>
      <c r="D69" s="12"/>
      <c r="E69" s="33">
        <f t="shared" ref="E69:J69" si="1">SUM(E5:E68)</f>
        <v>1557</v>
      </c>
      <c r="F69" s="33">
        <f t="shared" si="1"/>
        <v>763</v>
      </c>
      <c r="G69" s="33">
        <f t="shared" si="1"/>
        <v>2320</v>
      </c>
      <c r="H69" s="37">
        <f t="shared" si="1"/>
        <v>2320</v>
      </c>
      <c r="I69" s="13">
        <f t="shared" si="1"/>
        <v>385</v>
      </c>
      <c r="J69" s="13">
        <f t="shared" si="1"/>
        <v>875</v>
      </c>
    </row>
  </sheetData>
  <mergeCells count="2">
    <mergeCell ref="A1:J1"/>
    <mergeCell ref="A2:J2"/>
  </mergeCells>
  <pageMargins left="0.74803149606299213" right="0.74803149606299213" top="0.98425196850393704" bottom="0.98425196850393704" header="0.51181102362204722" footer="0.51181102362204722"/>
  <pageSetup paperSize="9" scale="75" fitToHeight="0" orientation="landscape" r:id="rId1"/>
  <headerFooter>
    <oddHeader>Página &amp;P de &amp;N</oddHeader>
    <oddFooter>&amp;LVolumes atingidas nas ações PETRA ULTRA e ICE CRYSTAL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34" customWidth="1"/>
    <col min="4" max="4" width="38" customWidth="1"/>
    <col min="5" max="5" width="20" customWidth="1"/>
    <col min="6" max="7" width="16" customWidth="1"/>
    <col min="8" max="8" width="20" customWidth="1"/>
    <col min="9" max="10" width="16" customWidth="1"/>
  </cols>
  <sheetData>
    <row r="1" spans="1:10" ht="34.950000000000003" customHeight="1" x14ac:dyDescent="0.3">
      <c r="A1" s="29" t="s">
        <v>160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9.95" customHeight="1" x14ac:dyDescent="0.3">
      <c r="A2" s="28" t="s">
        <v>161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5.95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11</v>
      </c>
      <c r="F4" s="14" t="s">
        <v>9</v>
      </c>
      <c r="G4" s="14" t="s">
        <v>10</v>
      </c>
      <c r="H4" s="14" t="s">
        <v>8</v>
      </c>
      <c r="I4" s="14" t="s">
        <v>6</v>
      </c>
      <c r="J4" s="14" t="s">
        <v>7</v>
      </c>
    </row>
    <row r="5" spans="1:10" ht="19.95" customHeight="1" x14ac:dyDescent="0.3">
      <c r="A5" s="2" t="s">
        <v>12</v>
      </c>
      <c r="B5" s="3" t="s">
        <v>13</v>
      </c>
      <c r="C5" s="3" t="s">
        <v>24</v>
      </c>
      <c r="D5" s="3" t="s">
        <v>25</v>
      </c>
      <c r="E5" s="5">
        <v>38</v>
      </c>
      <c r="F5" s="4">
        <v>38</v>
      </c>
      <c r="G5" s="4">
        <v>4</v>
      </c>
      <c r="H5" s="5">
        <v>132</v>
      </c>
      <c r="I5" s="4">
        <v>128</v>
      </c>
      <c r="J5" s="4">
        <v>4</v>
      </c>
    </row>
    <row r="6" spans="1:10" ht="19.95" customHeight="1" x14ac:dyDescent="0.3">
      <c r="A6" s="6" t="s">
        <v>15</v>
      </c>
      <c r="B6" s="7" t="s">
        <v>13</v>
      </c>
      <c r="C6" s="7" t="s">
        <v>37</v>
      </c>
      <c r="D6" s="7" t="s">
        <v>38</v>
      </c>
      <c r="E6" s="9">
        <v>37</v>
      </c>
      <c r="F6" s="8">
        <v>31</v>
      </c>
      <c r="G6" s="8">
        <v>13</v>
      </c>
      <c r="H6" s="9">
        <v>64</v>
      </c>
      <c r="I6" s="8">
        <v>34</v>
      </c>
      <c r="J6" s="8">
        <v>30</v>
      </c>
    </row>
    <row r="7" spans="1:10" ht="19.95" customHeight="1" x14ac:dyDescent="0.3">
      <c r="A7" s="2" t="s">
        <v>19</v>
      </c>
      <c r="B7" s="3" t="s">
        <v>13</v>
      </c>
      <c r="C7" s="3" t="s">
        <v>31</v>
      </c>
      <c r="D7" s="3" t="s">
        <v>32</v>
      </c>
      <c r="E7" s="5">
        <v>35</v>
      </c>
      <c r="F7" s="4">
        <v>29</v>
      </c>
      <c r="G7" s="4">
        <v>28</v>
      </c>
      <c r="H7" s="5">
        <v>79</v>
      </c>
      <c r="I7" s="4">
        <v>37</v>
      </c>
      <c r="J7" s="4">
        <v>42</v>
      </c>
    </row>
    <row r="8" spans="1:10" ht="19.95" customHeight="1" x14ac:dyDescent="0.3">
      <c r="A8" s="6" t="s">
        <v>23</v>
      </c>
      <c r="B8" s="7" t="s">
        <v>13</v>
      </c>
      <c r="C8" s="7" t="s">
        <v>24</v>
      </c>
      <c r="D8" s="7" t="s">
        <v>40</v>
      </c>
      <c r="E8" s="9">
        <v>35</v>
      </c>
      <c r="F8" s="8">
        <v>35</v>
      </c>
      <c r="G8" s="8">
        <v>5</v>
      </c>
      <c r="H8" s="9">
        <v>63</v>
      </c>
      <c r="I8" s="8">
        <v>58</v>
      </c>
      <c r="J8" s="8">
        <v>5</v>
      </c>
    </row>
    <row r="9" spans="1:10" ht="19.95" customHeight="1" x14ac:dyDescent="0.3">
      <c r="A9" s="2" t="s">
        <v>26</v>
      </c>
      <c r="B9" s="3" t="s">
        <v>13</v>
      </c>
      <c r="C9" s="3" t="s">
        <v>60</v>
      </c>
      <c r="D9" s="3" t="s">
        <v>61</v>
      </c>
      <c r="E9" s="5">
        <v>29</v>
      </c>
      <c r="F9" s="4">
        <v>10</v>
      </c>
      <c r="G9" s="4">
        <v>22</v>
      </c>
      <c r="H9" s="5">
        <v>41</v>
      </c>
      <c r="I9" s="4">
        <v>11</v>
      </c>
      <c r="J9" s="4">
        <v>30</v>
      </c>
    </row>
    <row r="10" spans="1:10" ht="19.95" customHeight="1" x14ac:dyDescent="0.3">
      <c r="A10" s="6" t="s">
        <v>30</v>
      </c>
      <c r="B10" s="7" t="s">
        <v>13</v>
      </c>
      <c r="C10" s="7" t="s">
        <v>37</v>
      </c>
      <c r="D10" s="7" t="s">
        <v>70</v>
      </c>
      <c r="E10" s="9">
        <v>25</v>
      </c>
      <c r="F10" s="8">
        <v>10</v>
      </c>
      <c r="G10" s="8">
        <v>18</v>
      </c>
      <c r="H10" s="9">
        <v>36</v>
      </c>
      <c r="I10" s="8">
        <v>10</v>
      </c>
      <c r="J10" s="8">
        <v>26</v>
      </c>
    </row>
    <row r="11" spans="1:10" ht="19.95" customHeight="1" x14ac:dyDescent="0.3">
      <c r="A11" s="2" t="s">
        <v>33</v>
      </c>
      <c r="B11" s="3" t="s">
        <v>13</v>
      </c>
      <c r="C11" s="3" t="s">
        <v>78</v>
      </c>
      <c r="D11" s="3" t="s">
        <v>93</v>
      </c>
      <c r="E11" s="5">
        <v>25</v>
      </c>
      <c r="F11" s="4">
        <v>23</v>
      </c>
      <c r="G11" s="4">
        <v>2</v>
      </c>
      <c r="H11" s="5">
        <v>28</v>
      </c>
      <c r="I11" s="4">
        <v>26</v>
      </c>
      <c r="J11" s="4">
        <v>2</v>
      </c>
    </row>
    <row r="12" spans="1:10" ht="19.95" customHeight="1" x14ac:dyDescent="0.3">
      <c r="A12" s="6" t="s">
        <v>36</v>
      </c>
      <c r="B12" s="7" t="s">
        <v>13</v>
      </c>
      <c r="C12" s="7" t="s">
        <v>37</v>
      </c>
      <c r="D12" s="7" t="s">
        <v>63</v>
      </c>
      <c r="E12" s="9">
        <v>24</v>
      </c>
      <c r="F12" s="8">
        <v>15</v>
      </c>
      <c r="G12" s="8">
        <v>11</v>
      </c>
      <c r="H12" s="9">
        <v>40</v>
      </c>
      <c r="I12" s="8">
        <v>19</v>
      </c>
      <c r="J12" s="8">
        <v>21</v>
      </c>
    </row>
    <row r="13" spans="1:10" ht="19.95" customHeight="1" x14ac:dyDescent="0.3">
      <c r="A13" s="2" t="s">
        <v>39</v>
      </c>
      <c r="B13" s="3" t="s">
        <v>20</v>
      </c>
      <c r="C13" s="3" t="s">
        <v>21</v>
      </c>
      <c r="D13" s="3" t="s">
        <v>22</v>
      </c>
      <c r="E13" s="5">
        <v>23</v>
      </c>
      <c r="F13" s="4">
        <v>21</v>
      </c>
      <c r="G13" s="4">
        <v>9</v>
      </c>
      <c r="H13" s="5">
        <v>134</v>
      </c>
      <c r="I13" s="4">
        <v>74</v>
      </c>
      <c r="J13" s="4">
        <v>60</v>
      </c>
    </row>
    <row r="14" spans="1:10" ht="19.95" customHeight="1" x14ac:dyDescent="0.3">
      <c r="A14" s="6" t="s">
        <v>41</v>
      </c>
      <c r="B14" s="7" t="s">
        <v>27</v>
      </c>
      <c r="C14" s="7" t="s">
        <v>28</v>
      </c>
      <c r="D14" s="7" t="s">
        <v>54</v>
      </c>
      <c r="E14" s="9">
        <v>23</v>
      </c>
      <c r="F14" s="8">
        <v>4</v>
      </c>
      <c r="G14" s="8">
        <v>20</v>
      </c>
      <c r="H14" s="9">
        <v>45</v>
      </c>
      <c r="I14" s="8">
        <v>8</v>
      </c>
      <c r="J14" s="8">
        <v>37</v>
      </c>
    </row>
    <row r="15" spans="1:10" ht="19.95" customHeight="1" x14ac:dyDescent="0.3">
      <c r="A15" s="2" t="s">
        <v>43</v>
      </c>
      <c r="B15" s="3" t="s">
        <v>27</v>
      </c>
      <c r="C15" s="3" t="s">
        <v>28</v>
      </c>
      <c r="D15" s="3" t="s">
        <v>56</v>
      </c>
      <c r="E15" s="5">
        <v>23</v>
      </c>
      <c r="F15" s="4">
        <v>2</v>
      </c>
      <c r="G15" s="4">
        <v>22</v>
      </c>
      <c r="H15" s="5">
        <v>43</v>
      </c>
      <c r="I15" s="4">
        <v>3</v>
      </c>
      <c r="J15" s="4">
        <v>40</v>
      </c>
    </row>
    <row r="16" spans="1:10" ht="19.95" customHeight="1" x14ac:dyDescent="0.3">
      <c r="A16" s="6" t="s">
        <v>46</v>
      </c>
      <c r="B16" s="7" t="s">
        <v>13</v>
      </c>
      <c r="C16" s="7" t="s">
        <v>37</v>
      </c>
      <c r="D16" s="7" t="s">
        <v>76</v>
      </c>
      <c r="E16" s="9">
        <v>23</v>
      </c>
      <c r="F16" s="8">
        <v>11</v>
      </c>
      <c r="G16" s="8">
        <v>17</v>
      </c>
      <c r="H16" s="9">
        <v>31</v>
      </c>
      <c r="I16" s="8">
        <v>11</v>
      </c>
      <c r="J16" s="8">
        <v>20</v>
      </c>
    </row>
    <row r="17" spans="1:10" ht="19.95" customHeight="1" x14ac:dyDescent="0.3">
      <c r="A17" s="2" t="s">
        <v>48</v>
      </c>
      <c r="B17" s="3" t="s">
        <v>16</v>
      </c>
      <c r="C17" s="3" t="s">
        <v>44</v>
      </c>
      <c r="D17" s="3" t="s">
        <v>45</v>
      </c>
      <c r="E17" s="5">
        <v>22</v>
      </c>
      <c r="F17" s="4">
        <v>17</v>
      </c>
      <c r="G17" s="4">
        <v>8</v>
      </c>
      <c r="H17" s="5">
        <v>60</v>
      </c>
      <c r="I17" s="4">
        <v>44</v>
      </c>
      <c r="J17" s="4">
        <v>16</v>
      </c>
    </row>
    <row r="18" spans="1:10" ht="19.95" customHeight="1" x14ac:dyDescent="0.3">
      <c r="A18" s="6" t="s">
        <v>50</v>
      </c>
      <c r="B18" s="7" t="s">
        <v>27</v>
      </c>
      <c r="C18" s="7" t="s">
        <v>28</v>
      </c>
      <c r="D18" s="7" t="s">
        <v>29</v>
      </c>
      <c r="E18" s="9">
        <v>21</v>
      </c>
      <c r="F18" s="8">
        <v>16</v>
      </c>
      <c r="G18" s="8">
        <v>9</v>
      </c>
      <c r="H18" s="9">
        <v>79</v>
      </c>
      <c r="I18" s="8">
        <v>46</v>
      </c>
      <c r="J18" s="8">
        <v>33</v>
      </c>
    </row>
    <row r="19" spans="1:10" ht="19.95" customHeight="1" x14ac:dyDescent="0.3">
      <c r="A19" s="2" t="s">
        <v>53</v>
      </c>
      <c r="B19" s="3" t="s">
        <v>13</v>
      </c>
      <c r="C19" s="3" t="s">
        <v>60</v>
      </c>
      <c r="D19" s="3" t="s">
        <v>99</v>
      </c>
      <c r="E19" s="5">
        <v>21</v>
      </c>
      <c r="F19" s="4">
        <v>17</v>
      </c>
      <c r="G19" s="4">
        <v>6</v>
      </c>
      <c r="H19" s="5">
        <v>25</v>
      </c>
      <c r="I19" s="4">
        <v>18</v>
      </c>
      <c r="J19" s="4">
        <v>7</v>
      </c>
    </row>
    <row r="20" spans="1:10" ht="19.95" customHeight="1" x14ac:dyDescent="0.3">
      <c r="A20" s="6" t="s">
        <v>55</v>
      </c>
      <c r="B20" s="7" t="s">
        <v>27</v>
      </c>
      <c r="C20" s="7" t="s">
        <v>28</v>
      </c>
      <c r="D20" s="7" t="s">
        <v>68</v>
      </c>
      <c r="E20" s="9">
        <v>20</v>
      </c>
      <c r="F20" s="8">
        <v>8</v>
      </c>
      <c r="G20" s="8">
        <v>13</v>
      </c>
      <c r="H20" s="9">
        <v>39</v>
      </c>
      <c r="I20" s="8">
        <v>9</v>
      </c>
      <c r="J20" s="8">
        <v>30</v>
      </c>
    </row>
    <row r="21" spans="1:10" ht="19.95" customHeight="1" x14ac:dyDescent="0.3">
      <c r="A21" s="2" t="s">
        <v>57</v>
      </c>
      <c r="B21" s="3" t="s">
        <v>16</v>
      </c>
      <c r="C21" s="3" t="s">
        <v>44</v>
      </c>
      <c r="D21" s="3" t="s">
        <v>49</v>
      </c>
      <c r="E21" s="5">
        <v>18</v>
      </c>
      <c r="F21" s="4">
        <v>18</v>
      </c>
      <c r="G21" s="4">
        <v>2</v>
      </c>
      <c r="H21" s="5">
        <v>47</v>
      </c>
      <c r="I21" s="4">
        <v>45</v>
      </c>
      <c r="J21" s="4">
        <v>2</v>
      </c>
    </row>
    <row r="22" spans="1:10" ht="19.95" customHeight="1" x14ac:dyDescent="0.3">
      <c r="A22" s="6" t="s">
        <v>59</v>
      </c>
      <c r="B22" s="7" t="s">
        <v>16</v>
      </c>
      <c r="C22" s="7" t="s">
        <v>65</v>
      </c>
      <c r="D22" s="7" t="s">
        <v>74</v>
      </c>
      <c r="E22" s="9">
        <v>18</v>
      </c>
      <c r="F22" s="8">
        <v>17</v>
      </c>
      <c r="G22" s="8">
        <v>2</v>
      </c>
      <c r="H22" s="9">
        <v>34</v>
      </c>
      <c r="I22" s="8">
        <v>30</v>
      </c>
      <c r="J22" s="8">
        <v>4</v>
      </c>
    </row>
    <row r="23" spans="1:10" ht="19.95" customHeight="1" x14ac:dyDescent="0.3">
      <c r="A23" s="2" t="s">
        <v>62</v>
      </c>
      <c r="B23" s="3" t="s">
        <v>13</v>
      </c>
      <c r="C23" s="3" t="s">
        <v>51</v>
      </c>
      <c r="D23" s="3" t="s">
        <v>52</v>
      </c>
      <c r="E23" s="5">
        <v>17</v>
      </c>
      <c r="F23" s="4">
        <v>10</v>
      </c>
      <c r="G23" s="4">
        <v>9</v>
      </c>
      <c r="H23" s="5">
        <v>47</v>
      </c>
      <c r="I23" s="4">
        <v>37</v>
      </c>
      <c r="J23" s="4">
        <v>10</v>
      </c>
    </row>
    <row r="24" spans="1:10" ht="19.95" customHeight="1" x14ac:dyDescent="0.3">
      <c r="A24" s="6" t="s">
        <v>64</v>
      </c>
      <c r="B24" s="7" t="s">
        <v>13</v>
      </c>
      <c r="C24" s="7" t="s">
        <v>78</v>
      </c>
      <c r="D24" s="7" t="s">
        <v>79</v>
      </c>
      <c r="E24" s="9">
        <v>17</v>
      </c>
      <c r="F24" s="8">
        <v>17</v>
      </c>
      <c r="G24" s="8">
        <v>1</v>
      </c>
      <c r="H24" s="9">
        <v>30</v>
      </c>
      <c r="I24" s="8">
        <v>28</v>
      </c>
      <c r="J24" s="8">
        <v>2</v>
      </c>
    </row>
    <row r="25" spans="1:10" ht="19.95" customHeight="1" x14ac:dyDescent="0.3">
      <c r="A25" s="2" t="s">
        <v>67</v>
      </c>
      <c r="B25" s="3" t="s">
        <v>13</v>
      </c>
      <c r="C25" s="3" t="s">
        <v>37</v>
      </c>
      <c r="D25" s="3" t="s">
        <v>85</v>
      </c>
      <c r="E25" s="5">
        <v>17</v>
      </c>
      <c r="F25" s="4">
        <v>10</v>
      </c>
      <c r="G25" s="4">
        <v>10</v>
      </c>
      <c r="H25" s="5">
        <v>30</v>
      </c>
      <c r="I25" s="4">
        <v>12</v>
      </c>
      <c r="J25" s="4">
        <v>18</v>
      </c>
    </row>
    <row r="26" spans="1:10" ht="19.95" customHeight="1" x14ac:dyDescent="0.3">
      <c r="A26" s="6" t="s">
        <v>69</v>
      </c>
      <c r="B26" s="7" t="s">
        <v>13</v>
      </c>
      <c r="C26" s="7" t="s">
        <v>78</v>
      </c>
      <c r="D26" s="7" t="s">
        <v>78</v>
      </c>
      <c r="E26" s="9">
        <v>16</v>
      </c>
      <c r="F26" s="8">
        <v>7</v>
      </c>
      <c r="G26" s="8">
        <v>9</v>
      </c>
      <c r="H26" s="9">
        <v>17</v>
      </c>
      <c r="I26" s="8">
        <v>7</v>
      </c>
      <c r="J26" s="8">
        <v>10</v>
      </c>
    </row>
    <row r="27" spans="1:10" ht="19.95" customHeight="1" x14ac:dyDescent="0.3">
      <c r="A27" s="2" t="s">
        <v>71</v>
      </c>
      <c r="B27" s="3" t="s">
        <v>13</v>
      </c>
      <c r="C27" s="3" t="s">
        <v>37</v>
      </c>
      <c r="D27" s="3" t="s">
        <v>105</v>
      </c>
      <c r="E27" s="5">
        <v>14</v>
      </c>
      <c r="F27" s="4">
        <v>14</v>
      </c>
      <c r="G27" s="4">
        <v>3</v>
      </c>
      <c r="H27" s="5">
        <v>24</v>
      </c>
      <c r="I27" s="4">
        <v>19</v>
      </c>
      <c r="J27" s="4">
        <v>5</v>
      </c>
    </row>
    <row r="28" spans="1:10" ht="19.95" customHeight="1" x14ac:dyDescent="0.3">
      <c r="A28" s="6" t="s">
        <v>73</v>
      </c>
      <c r="B28" s="7" t="s">
        <v>27</v>
      </c>
      <c r="C28" s="7" t="s">
        <v>28</v>
      </c>
      <c r="D28" s="7" t="s">
        <v>107</v>
      </c>
      <c r="E28" s="9">
        <v>14</v>
      </c>
      <c r="F28" s="8">
        <v>5</v>
      </c>
      <c r="G28" s="8">
        <v>10</v>
      </c>
      <c r="H28" s="9">
        <v>24</v>
      </c>
      <c r="I28" s="8">
        <v>6</v>
      </c>
      <c r="J28" s="8">
        <v>18</v>
      </c>
    </row>
    <row r="29" spans="1:10" ht="19.95" customHeight="1" x14ac:dyDescent="0.3">
      <c r="A29" s="2" t="s">
        <v>75</v>
      </c>
      <c r="B29" s="3" t="s">
        <v>16</v>
      </c>
      <c r="C29" s="3" t="s">
        <v>65</v>
      </c>
      <c r="D29" s="3" t="s">
        <v>66</v>
      </c>
      <c r="E29" s="5">
        <v>13</v>
      </c>
      <c r="F29" s="4">
        <v>12</v>
      </c>
      <c r="G29" s="4">
        <v>4</v>
      </c>
      <c r="H29" s="5">
        <v>39</v>
      </c>
      <c r="I29" s="4">
        <v>33</v>
      </c>
      <c r="J29" s="4">
        <v>6</v>
      </c>
    </row>
    <row r="30" spans="1:10" ht="19.95" customHeight="1" x14ac:dyDescent="0.3">
      <c r="A30" s="6" t="s">
        <v>77</v>
      </c>
      <c r="B30" s="7" t="s">
        <v>13</v>
      </c>
      <c r="C30" s="7" t="s">
        <v>60</v>
      </c>
      <c r="D30" s="7" t="s">
        <v>72</v>
      </c>
      <c r="E30" s="9">
        <v>13</v>
      </c>
      <c r="F30" s="8">
        <v>8</v>
      </c>
      <c r="G30" s="8">
        <v>11</v>
      </c>
      <c r="H30" s="9">
        <v>35</v>
      </c>
      <c r="I30" s="8">
        <v>18</v>
      </c>
      <c r="J30" s="8">
        <v>17</v>
      </c>
    </row>
    <row r="31" spans="1:10" ht="19.95" customHeight="1" x14ac:dyDescent="0.3">
      <c r="A31" s="2" t="s">
        <v>80</v>
      </c>
      <c r="B31" s="3" t="s">
        <v>13</v>
      </c>
      <c r="C31" s="3" t="s">
        <v>37</v>
      </c>
      <c r="D31" s="3" t="s">
        <v>89</v>
      </c>
      <c r="E31" s="5">
        <v>13</v>
      </c>
      <c r="F31" s="4">
        <v>12</v>
      </c>
      <c r="G31" s="4">
        <v>1</v>
      </c>
      <c r="H31" s="5">
        <v>29</v>
      </c>
      <c r="I31" s="4">
        <v>27</v>
      </c>
      <c r="J31" s="4">
        <v>2</v>
      </c>
    </row>
    <row r="32" spans="1:10" ht="19.95" customHeight="1" x14ac:dyDescent="0.3">
      <c r="A32" s="6" t="s">
        <v>82</v>
      </c>
      <c r="B32" s="7" t="s">
        <v>16</v>
      </c>
      <c r="C32" s="7" t="s">
        <v>65</v>
      </c>
      <c r="D32" s="7" t="s">
        <v>109</v>
      </c>
      <c r="E32" s="9">
        <v>13</v>
      </c>
      <c r="F32" s="8">
        <v>10</v>
      </c>
      <c r="G32" s="8">
        <v>6</v>
      </c>
      <c r="H32" s="9">
        <v>23</v>
      </c>
      <c r="I32" s="8">
        <v>16</v>
      </c>
      <c r="J32" s="8">
        <v>7</v>
      </c>
    </row>
    <row r="33" spans="1:10" ht="19.95" customHeight="1" x14ac:dyDescent="0.3">
      <c r="A33" s="2" t="s">
        <v>84</v>
      </c>
      <c r="B33" s="3" t="s">
        <v>13</v>
      </c>
      <c r="C33" s="3" t="s">
        <v>60</v>
      </c>
      <c r="D33" s="3" t="s">
        <v>115</v>
      </c>
      <c r="E33" s="5">
        <v>13</v>
      </c>
      <c r="F33" s="4">
        <v>11</v>
      </c>
      <c r="G33" s="4">
        <v>6</v>
      </c>
      <c r="H33" s="5">
        <v>19</v>
      </c>
      <c r="I33" s="4">
        <v>12</v>
      </c>
      <c r="J33" s="4">
        <v>7</v>
      </c>
    </row>
    <row r="34" spans="1:10" ht="19.95" customHeight="1" x14ac:dyDescent="0.3">
      <c r="A34" s="6" t="s">
        <v>86</v>
      </c>
      <c r="B34" s="7" t="s">
        <v>16</v>
      </c>
      <c r="C34" s="7" t="s">
        <v>17</v>
      </c>
      <c r="D34" s="7" t="s">
        <v>18</v>
      </c>
      <c r="E34" s="9">
        <v>12</v>
      </c>
      <c r="F34" s="8">
        <v>12</v>
      </c>
      <c r="G34" s="8">
        <v>0</v>
      </c>
      <c r="H34" s="9">
        <v>154</v>
      </c>
      <c r="I34" s="8">
        <v>154</v>
      </c>
      <c r="J34" s="8">
        <v>0</v>
      </c>
    </row>
    <row r="35" spans="1:10" ht="19.95" customHeight="1" x14ac:dyDescent="0.3">
      <c r="A35" s="2" t="s">
        <v>88</v>
      </c>
      <c r="B35" s="3" t="s">
        <v>13</v>
      </c>
      <c r="C35" s="3" t="s">
        <v>34</v>
      </c>
      <c r="D35" s="3" t="s">
        <v>35</v>
      </c>
      <c r="E35" s="5">
        <v>11</v>
      </c>
      <c r="F35" s="4">
        <v>11</v>
      </c>
      <c r="G35" s="4">
        <v>1</v>
      </c>
      <c r="H35" s="5">
        <v>73</v>
      </c>
      <c r="I35" s="4">
        <v>72</v>
      </c>
      <c r="J35" s="4">
        <v>1</v>
      </c>
    </row>
    <row r="36" spans="1:10" ht="19.95" customHeight="1" x14ac:dyDescent="0.3">
      <c r="A36" s="6" t="s">
        <v>90</v>
      </c>
      <c r="B36" s="7" t="s">
        <v>27</v>
      </c>
      <c r="C36" s="7" t="s">
        <v>28</v>
      </c>
      <c r="D36" s="7" t="s">
        <v>42</v>
      </c>
      <c r="E36" s="9">
        <v>11</v>
      </c>
      <c r="F36" s="8">
        <v>3</v>
      </c>
      <c r="G36" s="8">
        <v>11</v>
      </c>
      <c r="H36" s="9">
        <v>62</v>
      </c>
      <c r="I36" s="8">
        <v>17</v>
      </c>
      <c r="J36" s="8">
        <v>45</v>
      </c>
    </row>
    <row r="37" spans="1:10" ht="19.95" customHeight="1" x14ac:dyDescent="0.3">
      <c r="A37" s="2" t="s">
        <v>92</v>
      </c>
      <c r="B37" s="3" t="s">
        <v>27</v>
      </c>
      <c r="C37" s="3" t="s">
        <v>28</v>
      </c>
      <c r="D37" s="3" t="s">
        <v>97</v>
      </c>
      <c r="E37" s="5">
        <v>11</v>
      </c>
      <c r="F37" s="4">
        <v>10</v>
      </c>
      <c r="G37" s="4">
        <v>4</v>
      </c>
      <c r="H37" s="5">
        <v>27</v>
      </c>
      <c r="I37" s="4">
        <v>22</v>
      </c>
      <c r="J37" s="4">
        <v>5</v>
      </c>
    </row>
    <row r="38" spans="1:10" ht="19.95" customHeight="1" x14ac:dyDescent="0.3">
      <c r="A38" s="6" t="s">
        <v>94</v>
      </c>
      <c r="B38" s="7" t="s">
        <v>16</v>
      </c>
      <c r="C38" s="7" t="s">
        <v>65</v>
      </c>
      <c r="D38" s="7" t="s">
        <v>119</v>
      </c>
      <c r="E38" s="9">
        <v>11</v>
      </c>
      <c r="F38" s="8">
        <v>9</v>
      </c>
      <c r="G38" s="8">
        <v>3</v>
      </c>
      <c r="H38" s="9">
        <v>17</v>
      </c>
      <c r="I38" s="8">
        <v>13</v>
      </c>
      <c r="J38" s="8">
        <v>4</v>
      </c>
    </row>
    <row r="39" spans="1:10" ht="19.95" customHeight="1" x14ac:dyDescent="0.3">
      <c r="A39" s="2" t="s">
        <v>96</v>
      </c>
      <c r="B39" s="3" t="s">
        <v>16</v>
      </c>
      <c r="C39" s="3" t="s">
        <v>65</v>
      </c>
      <c r="D39" s="3" t="s">
        <v>124</v>
      </c>
      <c r="E39" s="5">
        <v>11</v>
      </c>
      <c r="F39" s="4">
        <v>10</v>
      </c>
      <c r="G39" s="4">
        <v>3</v>
      </c>
      <c r="H39" s="5">
        <v>14</v>
      </c>
      <c r="I39" s="4">
        <v>11</v>
      </c>
      <c r="J39" s="4">
        <v>3</v>
      </c>
    </row>
    <row r="40" spans="1:10" ht="19.95" customHeight="1" x14ac:dyDescent="0.3">
      <c r="A40" s="6" t="s">
        <v>98</v>
      </c>
      <c r="B40" s="7" t="s">
        <v>13</v>
      </c>
      <c r="C40" s="7" t="s">
        <v>14</v>
      </c>
      <c r="D40" s="7" t="s">
        <v>14</v>
      </c>
      <c r="E40" s="9">
        <v>10</v>
      </c>
      <c r="F40" s="8">
        <v>9</v>
      </c>
      <c r="G40" s="8">
        <v>8</v>
      </c>
      <c r="H40" s="9">
        <v>169</v>
      </c>
      <c r="I40" s="8">
        <v>130</v>
      </c>
      <c r="J40" s="8">
        <v>39</v>
      </c>
    </row>
    <row r="41" spans="1:10" ht="19.95" customHeight="1" x14ac:dyDescent="0.3">
      <c r="A41" s="2" t="s">
        <v>100</v>
      </c>
      <c r="B41" s="3" t="s">
        <v>20</v>
      </c>
      <c r="C41" s="3" t="s">
        <v>21</v>
      </c>
      <c r="D41" s="3" t="s">
        <v>83</v>
      </c>
      <c r="E41" s="5">
        <v>10</v>
      </c>
      <c r="F41" s="4">
        <v>5</v>
      </c>
      <c r="G41" s="4">
        <v>8</v>
      </c>
      <c r="H41" s="5">
        <v>30</v>
      </c>
      <c r="I41" s="4">
        <v>16</v>
      </c>
      <c r="J41" s="4">
        <v>14</v>
      </c>
    </row>
    <row r="42" spans="1:10" ht="19.95" customHeight="1" x14ac:dyDescent="0.3">
      <c r="A42" s="6" t="s">
        <v>104</v>
      </c>
      <c r="B42" s="7" t="s">
        <v>101</v>
      </c>
      <c r="C42" s="7" t="s">
        <v>102</v>
      </c>
      <c r="D42" s="7" t="s">
        <v>103</v>
      </c>
      <c r="E42" s="9">
        <v>10</v>
      </c>
      <c r="F42" s="8">
        <v>8</v>
      </c>
      <c r="G42" s="8">
        <v>4</v>
      </c>
      <c r="H42" s="9">
        <v>25</v>
      </c>
      <c r="I42" s="8">
        <v>14</v>
      </c>
      <c r="J42" s="8">
        <v>11</v>
      </c>
    </row>
    <row r="43" spans="1:10" ht="19.95" customHeight="1" x14ac:dyDescent="0.3">
      <c r="A43" s="2" t="s">
        <v>106</v>
      </c>
      <c r="B43" s="3" t="s">
        <v>16</v>
      </c>
      <c r="C43" s="3" t="s">
        <v>65</v>
      </c>
      <c r="D43" s="3" t="s">
        <v>113</v>
      </c>
      <c r="E43" s="5">
        <v>10</v>
      </c>
      <c r="F43" s="4">
        <v>10</v>
      </c>
      <c r="G43" s="4">
        <v>2</v>
      </c>
      <c r="H43" s="5">
        <v>20</v>
      </c>
      <c r="I43" s="4">
        <v>15</v>
      </c>
      <c r="J43" s="4">
        <v>5</v>
      </c>
    </row>
    <row r="44" spans="1:10" ht="19.95" customHeight="1" x14ac:dyDescent="0.3">
      <c r="A44" s="6" t="s">
        <v>108</v>
      </c>
      <c r="B44" s="7" t="s">
        <v>27</v>
      </c>
      <c r="C44" s="7" t="s">
        <v>28</v>
      </c>
      <c r="D44" s="7" t="s">
        <v>121</v>
      </c>
      <c r="E44" s="9">
        <v>10</v>
      </c>
      <c r="F44" s="8">
        <v>3</v>
      </c>
      <c r="G44" s="8">
        <v>7</v>
      </c>
      <c r="H44" s="9">
        <v>17</v>
      </c>
      <c r="I44" s="8">
        <v>7</v>
      </c>
      <c r="J44" s="8">
        <v>10</v>
      </c>
    </row>
    <row r="45" spans="1:10" ht="19.95" customHeight="1" x14ac:dyDescent="0.3">
      <c r="A45" s="2" t="s">
        <v>110</v>
      </c>
      <c r="B45" s="3" t="s">
        <v>13</v>
      </c>
      <c r="C45" s="3" t="s">
        <v>78</v>
      </c>
      <c r="D45" s="3" t="s">
        <v>126</v>
      </c>
      <c r="E45" s="5">
        <v>10</v>
      </c>
      <c r="F45" s="4">
        <v>8</v>
      </c>
      <c r="G45" s="4">
        <v>2</v>
      </c>
      <c r="H45" s="5">
        <v>13</v>
      </c>
      <c r="I45" s="4">
        <v>11</v>
      </c>
      <c r="J45" s="4">
        <v>2</v>
      </c>
    </row>
    <row r="46" spans="1:10" ht="19.95" customHeight="1" x14ac:dyDescent="0.3">
      <c r="A46" s="6" t="s">
        <v>112</v>
      </c>
      <c r="B46" s="7" t="s">
        <v>13</v>
      </c>
      <c r="C46" s="7" t="s">
        <v>60</v>
      </c>
      <c r="D46" s="7" t="s">
        <v>136</v>
      </c>
      <c r="E46" s="9">
        <v>10</v>
      </c>
      <c r="F46" s="8">
        <v>5</v>
      </c>
      <c r="G46" s="8">
        <v>5</v>
      </c>
      <c r="H46" s="9">
        <v>10</v>
      </c>
      <c r="I46" s="8">
        <v>5</v>
      </c>
      <c r="J46" s="8">
        <v>5</v>
      </c>
    </row>
    <row r="47" spans="1:10" ht="19.95" customHeight="1" x14ac:dyDescent="0.3">
      <c r="A47" s="2" t="s">
        <v>114</v>
      </c>
      <c r="B47" s="3" t="s">
        <v>16</v>
      </c>
      <c r="C47" s="3" t="s">
        <v>44</v>
      </c>
      <c r="D47" s="3" t="s">
        <v>47</v>
      </c>
      <c r="E47" s="5">
        <v>9</v>
      </c>
      <c r="F47" s="4">
        <v>6</v>
      </c>
      <c r="G47" s="4">
        <v>3</v>
      </c>
      <c r="H47" s="5">
        <v>48</v>
      </c>
      <c r="I47" s="4">
        <v>21</v>
      </c>
      <c r="J47" s="4">
        <v>27</v>
      </c>
    </row>
    <row r="48" spans="1:10" ht="19.95" customHeight="1" x14ac:dyDescent="0.3">
      <c r="A48" s="6" t="s">
        <v>116</v>
      </c>
      <c r="B48" s="7" t="s">
        <v>13</v>
      </c>
      <c r="C48" s="7" t="s">
        <v>34</v>
      </c>
      <c r="D48" s="7" t="s">
        <v>81</v>
      </c>
      <c r="E48" s="9">
        <v>9</v>
      </c>
      <c r="F48" s="8">
        <v>7</v>
      </c>
      <c r="G48" s="8">
        <v>2</v>
      </c>
      <c r="H48" s="9">
        <v>30</v>
      </c>
      <c r="I48" s="8">
        <v>27</v>
      </c>
      <c r="J48" s="8">
        <v>3</v>
      </c>
    </row>
    <row r="49" spans="1:10" ht="19.95" customHeight="1" x14ac:dyDescent="0.3">
      <c r="A49" s="2" t="s">
        <v>118</v>
      </c>
      <c r="B49" s="3" t="s">
        <v>16</v>
      </c>
      <c r="C49" s="3" t="s">
        <v>65</v>
      </c>
      <c r="D49" s="3" t="s">
        <v>128</v>
      </c>
      <c r="E49" s="5">
        <v>9</v>
      </c>
      <c r="F49" s="4">
        <v>6</v>
      </c>
      <c r="G49" s="4">
        <v>5</v>
      </c>
      <c r="H49" s="5">
        <v>13</v>
      </c>
      <c r="I49" s="4">
        <v>8</v>
      </c>
      <c r="J49" s="4">
        <v>5</v>
      </c>
    </row>
    <row r="50" spans="1:10" ht="19.95" customHeight="1" x14ac:dyDescent="0.3">
      <c r="A50" s="6" t="s">
        <v>120</v>
      </c>
      <c r="B50" s="7" t="s">
        <v>13</v>
      </c>
      <c r="C50" s="7" t="s">
        <v>51</v>
      </c>
      <c r="D50" s="7" t="s">
        <v>58</v>
      </c>
      <c r="E50" s="9">
        <v>8</v>
      </c>
      <c r="F50" s="8">
        <v>6</v>
      </c>
      <c r="G50" s="8">
        <v>5</v>
      </c>
      <c r="H50" s="9">
        <v>42</v>
      </c>
      <c r="I50" s="8">
        <v>36</v>
      </c>
      <c r="J50" s="8">
        <v>6</v>
      </c>
    </row>
    <row r="51" spans="1:10" ht="19.95" customHeight="1" x14ac:dyDescent="0.3">
      <c r="A51" s="2" t="s">
        <v>122</v>
      </c>
      <c r="B51" s="3" t="s">
        <v>13</v>
      </c>
      <c r="C51" s="3" t="s">
        <v>34</v>
      </c>
      <c r="D51" s="3" t="s">
        <v>130</v>
      </c>
      <c r="E51" s="5">
        <v>8</v>
      </c>
      <c r="F51" s="4">
        <v>8</v>
      </c>
      <c r="G51" s="4">
        <v>2</v>
      </c>
      <c r="H51" s="5">
        <v>12</v>
      </c>
      <c r="I51" s="4">
        <v>10</v>
      </c>
      <c r="J51" s="4">
        <v>2</v>
      </c>
    </row>
    <row r="52" spans="1:10" ht="19.95" customHeight="1" x14ac:dyDescent="0.3">
      <c r="A52" s="6" t="s">
        <v>123</v>
      </c>
      <c r="B52" s="7" t="s">
        <v>13</v>
      </c>
      <c r="C52" s="7" t="s">
        <v>78</v>
      </c>
      <c r="D52" s="7" t="s">
        <v>132</v>
      </c>
      <c r="E52" s="9">
        <v>8</v>
      </c>
      <c r="F52" s="8">
        <v>5</v>
      </c>
      <c r="G52" s="8">
        <v>3</v>
      </c>
      <c r="H52" s="9">
        <v>11</v>
      </c>
      <c r="I52" s="8">
        <v>8</v>
      </c>
      <c r="J52" s="8">
        <v>3</v>
      </c>
    </row>
    <row r="53" spans="1:10" ht="19.95" customHeight="1" x14ac:dyDescent="0.3">
      <c r="A53" s="2" t="s">
        <v>125</v>
      </c>
      <c r="B53" s="3" t="s">
        <v>13</v>
      </c>
      <c r="C53" s="3" t="s">
        <v>51</v>
      </c>
      <c r="D53" s="3" t="s">
        <v>95</v>
      </c>
      <c r="E53" s="5">
        <v>7</v>
      </c>
      <c r="F53" s="4">
        <v>6</v>
      </c>
      <c r="G53" s="4">
        <v>2</v>
      </c>
      <c r="H53" s="5">
        <v>27</v>
      </c>
      <c r="I53" s="4">
        <v>23</v>
      </c>
      <c r="J53" s="4">
        <v>4</v>
      </c>
    </row>
    <row r="54" spans="1:10" ht="19.95" customHeight="1" x14ac:dyDescent="0.3">
      <c r="A54" s="6" t="s">
        <v>127</v>
      </c>
      <c r="B54" s="7" t="s">
        <v>27</v>
      </c>
      <c r="C54" s="7" t="s">
        <v>28</v>
      </c>
      <c r="D54" s="7" t="s">
        <v>117</v>
      </c>
      <c r="E54" s="9">
        <v>7</v>
      </c>
      <c r="F54" s="8">
        <v>5</v>
      </c>
      <c r="G54" s="8">
        <v>3</v>
      </c>
      <c r="H54" s="9">
        <v>19</v>
      </c>
      <c r="I54" s="8">
        <v>9</v>
      </c>
      <c r="J54" s="8">
        <v>10</v>
      </c>
    </row>
    <row r="55" spans="1:10" ht="19.95" customHeight="1" x14ac:dyDescent="0.3">
      <c r="A55" s="2" t="s">
        <v>129</v>
      </c>
      <c r="B55" s="3" t="s">
        <v>13</v>
      </c>
      <c r="C55" s="3" t="s">
        <v>34</v>
      </c>
      <c r="D55" s="3" t="s">
        <v>134</v>
      </c>
      <c r="E55" s="5">
        <v>7</v>
      </c>
      <c r="F55" s="4">
        <v>7</v>
      </c>
      <c r="G55" s="4">
        <v>0</v>
      </c>
      <c r="H55" s="5">
        <v>10</v>
      </c>
      <c r="I55" s="4">
        <v>10</v>
      </c>
      <c r="J55" s="4">
        <v>0</v>
      </c>
    </row>
    <row r="56" spans="1:10" ht="19.95" customHeight="1" x14ac:dyDescent="0.3">
      <c r="A56" s="6" t="s">
        <v>131</v>
      </c>
      <c r="B56" s="7" t="s">
        <v>13</v>
      </c>
      <c r="C56" s="7" t="s">
        <v>51</v>
      </c>
      <c r="D56" s="7" t="s">
        <v>138</v>
      </c>
      <c r="E56" s="9">
        <v>7</v>
      </c>
      <c r="F56" s="8">
        <v>2</v>
      </c>
      <c r="G56" s="8">
        <v>6</v>
      </c>
      <c r="H56" s="9">
        <v>10</v>
      </c>
      <c r="I56" s="8">
        <v>3</v>
      </c>
      <c r="J56" s="8">
        <v>7</v>
      </c>
    </row>
    <row r="57" spans="1:10" ht="19.95" customHeight="1" x14ac:dyDescent="0.3">
      <c r="A57" s="2" t="s">
        <v>133</v>
      </c>
      <c r="B57" s="3" t="s">
        <v>20</v>
      </c>
      <c r="C57" s="3" t="s">
        <v>21</v>
      </c>
      <c r="D57" s="3" t="s">
        <v>111</v>
      </c>
      <c r="E57" s="5">
        <v>6</v>
      </c>
      <c r="F57" s="4">
        <v>4</v>
      </c>
      <c r="G57" s="4">
        <v>2</v>
      </c>
      <c r="H57" s="5">
        <v>21</v>
      </c>
      <c r="I57" s="4">
        <v>9</v>
      </c>
      <c r="J57" s="4">
        <v>12</v>
      </c>
    </row>
    <row r="58" spans="1:10" ht="19.95" customHeight="1" x14ac:dyDescent="0.3">
      <c r="A58" s="6" t="s">
        <v>135</v>
      </c>
      <c r="B58" s="7" t="s">
        <v>13</v>
      </c>
      <c r="C58" s="7" t="s">
        <v>78</v>
      </c>
      <c r="D58" s="7" t="s">
        <v>146</v>
      </c>
      <c r="E58" s="9">
        <v>6</v>
      </c>
      <c r="F58" s="8">
        <v>3</v>
      </c>
      <c r="G58" s="8">
        <v>3</v>
      </c>
      <c r="H58" s="9">
        <v>7</v>
      </c>
      <c r="I58" s="8">
        <v>3</v>
      </c>
      <c r="J58" s="8">
        <v>4</v>
      </c>
    </row>
    <row r="59" spans="1:10" ht="19.95" customHeight="1" x14ac:dyDescent="0.3">
      <c r="A59" s="2" t="s">
        <v>137</v>
      </c>
      <c r="B59" s="3" t="s">
        <v>13</v>
      </c>
      <c r="C59" s="3" t="s">
        <v>60</v>
      </c>
      <c r="D59" s="3" t="s">
        <v>142</v>
      </c>
      <c r="E59" s="5">
        <v>5</v>
      </c>
      <c r="F59" s="4">
        <v>2</v>
      </c>
      <c r="G59" s="4">
        <v>3</v>
      </c>
      <c r="H59" s="5">
        <v>8</v>
      </c>
      <c r="I59" s="4">
        <v>2</v>
      </c>
      <c r="J59" s="4">
        <v>6</v>
      </c>
    </row>
    <row r="60" spans="1:10" ht="19.95" customHeight="1" x14ac:dyDescent="0.3">
      <c r="A60" s="6" t="s">
        <v>139</v>
      </c>
      <c r="B60" s="7" t="s">
        <v>16</v>
      </c>
      <c r="C60" s="7" t="s">
        <v>65</v>
      </c>
      <c r="D60" s="7" t="s">
        <v>150</v>
      </c>
      <c r="E60" s="9">
        <v>4</v>
      </c>
      <c r="F60" s="8">
        <v>4</v>
      </c>
      <c r="G60" s="8">
        <v>1</v>
      </c>
      <c r="H60" s="9">
        <v>5</v>
      </c>
      <c r="I60" s="8">
        <v>4</v>
      </c>
      <c r="J60" s="8">
        <v>1</v>
      </c>
    </row>
    <row r="61" spans="1:10" ht="19.95" customHeight="1" x14ac:dyDescent="0.3">
      <c r="A61" s="2" t="s">
        <v>141</v>
      </c>
      <c r="B61" s="3" t="s">
        <v>16</v>
      </c>
      <c r="C61" s="3" t="s">
        <v>65</v>
      </c>
      <c r="D61" s="3" t="s">
        <v>87</v>
      </c>
      <c r="E61" s="5">
        <v>3</v>
      </c>
      <c r="F61" s="4">
        <v>3</v>
      </c>
      <c r="G61" s="4">
        <v>0</v>
      </c>
      <c r="H61" s="5">
        <v>29</v>
      </c>
      <c r="I61" s="4">
        <v>29</v>
      </c>
      <c r="J61" s="4">
        <v>0</v>
      </c>
    </row>
    <row r="62" spans="1:10" ht="19.95" customHeight="1" x14ac:dyDescent="0.3">
      <c r="A62" s="6" t="s">
        <v>143</v>
      </c>
      <c r="B62" s="7" t="s">
        <v>16</v>
      </c>
      <c r="C62" s="7" t="s">
        <v>65</v>
      </c>
      <c r="D62" s="7" t="s">
        <v>91</v>
      </c>
      <c r="E62" s="9">
        <v>3</v>
      </c>
      <c r="F62" s="8">
        <v>3</v>
      </c>
      <c r="G62" s="8">
        <v>1</v>
      </c>
      <c r="H62" s="9">
        <v>29</v>
      </c>
      <c r="I62" s="8">
        <v>24</v>
      </c>
      <c r="J62" s="8">
        <v>5</v>
      </c>
    </row>
    <row r="63" spans="1:10" ht="19.95" customHeight="1" x14ac:dyDescent="0.3">
      <c r="A63" s="2" t="s">
        <v>145</v>
      </c>
      <c r="B63" s="3" t="s">
        <v>101</v>
      </c>
      <c r="C63" s="3" t="s">
        <v>102</v>
      </c>
      <c r="D63" s="3" t="s">
        <v>140</v>
      </c>
      <c r="E63" s="5">
        <v>3</v>
      </c>
      <c r="F63" s="4">
        <v>3</v>
      </c>
      <c r="G63" s="4">
        <v>0</v>
      </c>
      <c r="H63" s="5">
        <v>8</v>
      </c>
      <c r="I63" s="4">
        <v>8</v>
      </c>
      <c r="J63" s="4">
        <v>0</v>
      </c>
    </row>
    <row r="64" spans="1:10" ht="19.95" customHeight="1" x14ac:dyDescent="0.3">
      <c r="A64" s="6" t="s">
        <v>147</v>
      </c>
      <c r="B64" s="7" t="s">
        <v>20</v>
      </c>
      <c r="C64" s="7" t="s">
        <v>21</v>
      </c>
      <c r="D64" s="7" t="s">
        <v>144</v>
      </c>
      <c r="E64" s="9">
        <v>3</v>
      </c>
      <c r="F64" s="8">
        <v>3</v>
      </c>
      <c r="G64" s="8">
        <v>0</v>
      </c>
      <c r="H64" s="9">
        <v>7</v>
      </c>
      <c r="I64" s="8">
        <v>7</v>
      </c>
      <c r="J64" s="8">
        <v>0</v>
      </c>
    </row>
    <row r="65" spans="1:10" ht="19.95" customHeight="1" x14ac:dyDescent="0.3">
      <c r="A65" s="2" t="s">
        <v>149</v>
      </c>
      <c r="B65" s="3" t="s">
        <v>13</v>
      </c>
      <c r="C65" s="3" t="s">
        <v>51</v>
      </c>
      <c r="D65" s="3" t="s">
        <v>148</v>
      </c>
      <c r="E65" s="5">
        <v>2</v>
      </c>
      <c r="F65" s="4">
        <v>0</v>
      </c>
      <c r="G65" s="4">
        <v>2</v>
      </c>
      <c r="H65" s="5">
        <v>7</v>
      </c>
      <c r="I65" s="4">
        <v>0</v>
      </c>
      <c r="J65" s="4">
        <v>7</v>
      </c>
    </row>
    <row r="66" spans="1:10" ht="19.95" customHeight="1" x14ac:dyDescent="0.3">
      <c r="A66" s="6" t="s">
        <v>151</v>
      </c>
      <c r="B66" s="7" t="s">
        <v>155</v>
      </c>
      <c r="C66" s="7" t="s">
        <v>156</v>
      </c>
      <c r="D66" s="7" t="s">
        <v>157</v>
      </c>
      <c r="E66" s="9">
        <v>2</v>
      </c>
      <c r="F66" s="8">
        <v>0</v>
      </c>
      <c r="G66" s="8">
        <v>2</v>
      </c>
      <c r="H66" s="9">
        <v>2</v>
      </c>
      <c r="I66" s="8">
        <v>0</v>
      </c>
      <c r="J66" s="8">
        <v>2</v>
      </c>
    </row>
    <row r="67" spans="1:10" ht="19.95" customHeight="1" x14ac:dyDescent="0.3">
      <c r="A67" s="2" t="s">
        <v>153</v>
      </c>
      <c r="B67" s="3" t="s">
        <v>27</v>
      </c>
      <c r="C67" s="3" t="s">
        <v>152</v>
      </c>
      <c r="D67" s="3" t="s">
        <v>152</v>
      </c>
      <c r="E67" s="5">
        <v>1</v>
      </c>
      <c r="F67" s="4">
        <v>0</v>
      </c>
      <c r="G67" s="4">
        <v>1</v>
      </c>
      <c r="H67" s="5">
        <v>4</v>
      </c>
      <c r="I67" s="4">
        <v>0</v>
      </c>
      <c r="J67" s="4">
        <v>4</v>
      </c>
    </row>
    <row r="68" spans="1:10" ht="19.95" customHeight="1" x14ac:dyDescent="0.3">
      <c r="A68" s="6" t="s">
        <v>154</v>
      </c>
      <c r="B68" s="7" t="s">
        <v>16</v>
      </c>
      <c r="C68" s="7" t="s">
        <v>65</v>
      </c>
      <c r="D68" s="7" t="s">
        <v>65</v>
      </c>
      <c r="E68" s="9">
        <v>1</v>
      </c>
      <c r="F68" s="8">
        <v>1</v>
      </c>
      <c r="G68" s="8">
        <v>0</v>
      </c>
      <c r="H68" s="9">
        <v>3</v>
      </c>
      <c r="I68" s="8">
        <v>3</v>
      </c>
      <c r="J68" s="8">
        <v>0</v>
      </c>
    </row>
    <row r="69" spans="1:10" ht="24" customHeight="1" x14ac:dyDescent="0.4">
      <c r="A69" s="15" t="s">
        <v>158</v>
      </c>
      <c r="B69" s="16" t="s">
        <v>159</v>
      </c>
      <c r="C69" s="17"/>
      <c r="D69" s="17"/>
      <c r="E69" s="18">
        <f t="shared" ref="E69:J69" si="0">SUM(E5:E68)</f>
        <v>875</v>
      </c>
      <c r="F69" s="18">
        <f t="shared" si="0"/>
        <v>625</v>
      </c>
      <c r="G69" s="18">
        <f t="shared" si="0"/>
        <v>385</v>
      </c>
      <c r="H69" s="18">
        <f t="shared" si="0"/>
        <v>2320</v>
      </c>
      <c r="I69" s="18">
        <f t="shared" si="0"/>
        <v>1557</v>
      </c>
      <c r="J69" s="18">
        <f t="shared" si="0"/>
        <v>763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workbookViewId="0"/>
  </sheetViews>
  <sheetFormatPr defaultRowHeight="14.4" x14ac:dyDescent="0.3"/>
  <cols>
    <col min="1" max="1" width="18" customWidth="1"/>
    <col min="2" max="2" width="34" customWidth="1"/>
    <col min="3" max="3" width="38" customWidth="1"/>
    <col min="4" max="4" width="13" customWidth="1"/>
    <col min="5" max="5" width="12" customWidth="1"/>
    <col min="6" max="6" width="20" customWidth="1"/>
    <col min="7" max="7" width="13" customWidth="1"/>
    <col min="8" max="8" width="12" customWidth="1"/>
    <col min="9" max="9" width="20" customWidth="1"/>
  </cols>
  <sheetData>
    <row r="1" spans="1:9" ht="30" customHeight="1" x14ac:dyDescent="0.3">
      <c r="A1" s="32" t="s">
        <v>162</v>
      </c>
      <c r="B1" s="27"/>
      <c r="C1" s="27"/>
      <c r="D1" s="27"/>
      <c r="E1" s="27"/>
      <c r="F1" s="27"/>
      <c r="G1" s="27"/>
      <c r="H1" s="27"/>
      <c r="I1" s="27"/>
    </row>
    <row r="3" spans="1:9" ht="24" customHeight="1" x14ac:dyDescent="0.3">
      <c r="A3" s="19" t="s">
        <v>3</v>
      </c>
      <c r="B3" s="19" t="s">
        <v>4</v>
      </c>
      <c r="C3" s="19" t="s">
        <v>163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9" t="s">
        <v>11</v>
      </c>
    </row>
    <row r="4" spans="1:9" ht="24" customHeight="1" x14ac:dyDescent="0.3">
      <c r="A4" s="31" t="s">
        <v>164</v>
      </c>
      <c r="B4" s="27"/>
      <c r="C4" s="27"/>
      <c r="D4" s="27"/>
      <c r="E4" s="27"/>
      <c r="F4" s="27"/>
      <c r="G4" s="27"/>
      <c r="H4" s="27"/>
      <c r="I4" s="27"/>
    </row>
    <row r="5" spans="1:9" ht="19.95" customHeight="1" x14ac:dyDescent="0.3">
      <c r="A5" s="30" t="s">
        <v>165</v>
      </c>
      <c r="B5" s="27"/>
      <c r="C5" s="27"/>
      <c r="D5" s="27"/>
      <c r="E5" s="27"/>
      <c r="F5" s="27"/>
      <c r="G5" s="27"/>
      <c r="H5" s="27"/>
      <c r="I5" s="27"/>
    </row>
    <row r="6" spans="1:9" ht="19.05" customHeight="1" x14ac:dyDescent="0.35">
      <c r="A6" s="20" t="s">
        <v>27</v>
      </c>
      <c r="B6" s="20" t="s">
        <v>28</v>
      </c>
      <c r="C6" s="20" t="s">
        <v>29</v>
      </c>
      <c r="D6" s="8">
        <v>46</v>
      </c>
      <c r="E6" s="8">
        <v>33</v>
      </c>
      <c r="F6" s="9">
        <v>79</v>
      </c>
      <c r="G6" s="8">
        <v>16</v>
      </c>
      <c r="H6" s="8">
        <v>9</v>
      </c>
      <c r="I6" s="8">
        <v>21</v>
      </c>
    </row>
    <row r="7" spans="1:9" ht="19.05" customHeight="1" x14ac:dyDescent="0.35">
      <c r="A7" s="20" t="s">
        <v>27</v>
      </c>
      <c r="B7" s="20" t="s">
        <v>28</v>
      </c>
      <c r="C7" s="20" t="s">
        <v>42</v>
      </c>
      <c r="D7" s="8">
        <v>17</v>
      </c>
      <c r="E7" s="8">
        <v>45</v>
      </c>
      <c r="F7" s="9">
        <v>62</v>
      </c>
      <c r="G7" s="8">
        <v>3</v>
      </c>
      <c r="H7" s="8">
        <v>11</v>
      </c>
      <c r="I7" s="8">
        <v>11</v>
      </c>
    </row>
    <row r="8" spans="1:9" ht="19.05" customHeight="1" x14ac:dyDescent="0.35">
      <c r="A8" s="20" t="s">
        <v>27</v>
      </c>
      <c r="B8" s="20" t="s">
        <v>28</v>
      </c>
      <c r="C8" s="20" t="s">
        <v>54</v>
      </c>
      <c r="D8" s="8">
        <v>8</v>
      </c>
      <c r="E8" s="8">
        <v>37</v>
      </c>
      <c r="F8" s="9">
        <v>45</v>
      </c>
      <c r="G8" s="8">
        <v>4</v>
      </c>
      <c r="H8" s="8">
        <v>20</v>
      </c>
      <c r="I8" s="8">
        <v>23</v>
      </c>
    </row>
    <row r="9" spans="1:9" ht="19.05" customHeight="1" x14ac:dyDescent="0.35">
      <c r="A9" s="20" t="s">
        <v>27</v>
      </c>
      <c r="B9" s="20" t="s">
        <v>28</v>
      </c>
      <c r="C9" s="20" t="s">
        <v>56</v>
      </c>
      <c r="D9" s="8">
        <v>3</v>
      </c>
      <c r="E9" s="8">
        <v>40</v>
      </c>
      <c r="F9" s="9">
        <v>43</v>
      </c>
      <c r="G9" s="8">
        <v>2</v>
      </c>
      <c r="H9" s="8">
        <v>22</v>
      </c>
      <c r="I9" s="8">
        <v>23</v>
      </c>
    </row>
    <row r="10" spans="1:9" ht="19.05" customHeight="1" x14ac:dyDescent="0.35">
      <c r="A10" s="20" t="s">
        <v>27</v>
      </c>
      <c r="B10" s="20" t="s">
        <v>28</v>
      </c>
      <c r="C10" s="20" t="s">
        <v>68</v>
      </c>
      <c r="D10" s="8">
        <v>9</v>
      </c>
      <c r="E10" s="8">
        <v>30</v>
      </c>
      <c r="F10" s="9">
        <v>39</v>
      </c>
      <c r="G10" s="8">
        <v>8</v>
      </c>
      <c r="H10" s="8">
        <v>13</v>
      </c>
      <c r="I10" s="8">
        <v>20</v>
      </c>
    </row>
    <row r="11" spans="1:9" ht="19.05" customHeight="1" x14ac:dyDescent="0.35">
      <c r="A11" s="20" t="s">
        <v>27</v>
      </c>
      <c r="B11" s="20" t="s">
        <v>28</v>
      </c>
      <c r="C11" s="20" t="s">
        <v>97</v>
      </c>
      <c r="D11" s="8">
        <v>22</v>
      </c>
      <c r="E11" s="8">
        <v>5</v>
      </c>
      <c r="F11" s="9">
        <v>27</v>
      </c>
      <c r="G11" s="8">
        <v>10</v>
      </c>
      <c r="H11" s="8">
        <v>4</v>
      </c>
      <c r="I11" s="8">
        <v>11</v>
      </c>
    </row>
    <row r="12" spans="1:9" ht="19.05" customHeight="1" x14ac:dyDescent="0.35">
      <c r="A12" s="20" t="s">
        <v>27</v>
      </c>
      <c r="B12" s="20" t="s">
        <v>28</v>
      </c>
      <c r="C12" s="20" t="s">
        <v>107</v>
      </c>
      <c r="D12" s="8">
        <v>6</v>
      </c>
      <c r="E12" s="8">
        <v>18</v>
      </c>
      <c r="F12" s="9">
        <v>24</v>
      </c>
      <c r="G12" s="8">
        <v>5</v>
      </c>
      <c r="H12" s="8">
        <v>10</v>
      </c>
      <c r="I12" s="8">
        <v>14</v>
      </c>
    </row>
    <row r="13" spans="1:9" ht="19.05" customHeight="1" x14ac:dyDescent="0.35">
      <c r="A13" s="20" t="s">
        <v>27</v>
      </c>
      <c r="B13" s="20" t="s">
        <v>28</v>
      </c>
      <c r="C13" s="20" t="s">
        <v>117</v>
      </c>
      <c r="D13" s="8">
        <v>9</v>
      </c>
      <c r="E13" s="8">
        <v>10</v>
      </c>
      <c r="F13" s="9">
        <v>19</v>
      </c>
      <c r="G13" s="8">
        <v>5</v>
      </c>
      <c r="H13" s="8">
        <v>3</v>
      </c>
      <c r="I13" s="8">
        <v>7</v>
      </c>
    </row>
    <row r="14" spans="1:9" ht="19.05" customHeight="1" x14ac:dyDescent="0.35">
      <c r="A14" s="20" t="s">
        <v>27</v>
      </c>
      <c r="B14" s="20" t="s">
        <v>28</v>
      </c>
      <c r="C14" s="20" t="s">
        <v>121</v>
      </c>
      <c r="D14" s="8">
        <v>7</v>
      </c>
      <c r="E14" s="8">
        <v>10</v>
      </c>
      <c r="F14" s="9">
        <v>17</v>
      </c>
      <c r="G14" s="8">
        <v>3</v>
      </c>
      <c r="H14" s="8">
        <v>7</v>
      </c>
      <c r="I14" s="8">
        <v>10</v>
      </c>
    </row>
    <row r="15" spans="1:9" ht="19.95" customHeight="1" x14ac:dyDescent="0.3">
      <c r="A15" s="30" t="s">
        <v>166</v>
      </c>
      <c r="B15" s="27"/>
      <c r="C15" s="27"/>
      <c r="D15" s="27"/>
      <c r="E15" s="27"/>
      <c r="F15" s="27"/>
      <c r="G15" s="27"/>
      <c r="H15" s="27"/>
      <c r="I15" s="27"/>
    </row>
    <row r="16" spans="1:9" ht="19.05" customHeight="1" x14ac:dyDescent="0.35">
      <c r="A16" s="20" t="s">
        <v>27</v>
      </c>
      <c r="B16" s="20" t="s">
        <v>152</v>
      </c>
      <c r="C16" s="20" t="s">
        <v>152</v>
      </c>
      <c r="D16" s="8">
        <v>0</v>
      </c>
      <c r="E16" s="8">
        <v>4</v>
      </c>
      <c r="F16" s="9">
        <v>4</v>
      </c>
      <c r="G16" s="8">
        <v>0</v>
      </c>
      <c r="H16" s="8">
        <v>1</v>
      </c>
      <c r="I16" s="8">
        <v>1</v>
      </c>
    </row>
    <row r="17" spans="1:9" ht="24" customHeight="1" x14ac:dyDescent="0.3">
      <c r="A17" s="31" t="s">
        <v>167</v>
      </c>
      <c r="B17" s="27"/>
      <c r="C17" s="27"/>
      <c r="D17" s="27"/>
      <c r="E17" s="27"/>
      <c r="F17" s="27"/>
      <c r="G17" s="27"/>
      <c r="H17" s="27"/>
      <c r="I17" s="27"/>
    </row>
    <row r="18" spans="1:9" ht="19.95" customHeight="1" x14ac:dyDescent="0.3">
      <c r="A18" s="30" t="s">
        <v>168</v>
      </c>
      <c r="B18" s="27"/>
      <c r="C18" s="27"/>
      <c r="D18" s="27"/>
      <c r="E18" s="27"/>
      <c r="F18" s="27"/>
      <c r="G18" s="27"/>
      <c r="H18" s="27"/>
      <c r="I18" s="27"/>
    </row>
    <row r="19" spans="1:9" ht="19.05" customHeight="1" x14ac:dyDescent="0.35">
      <c r="A19" s="20" t="s">
        <v>20</v>
      </c>
      <c r="B19" s="20" t="s">
        <v>21</v>
      </c>
      <c r="C19" s="20" t="s">
        <v>22</v>
      </c>
      <c r="D19" s="8">
        <v>74</v>
      </c>
      <c r="E19" s="8">
        <v>60</v>
      </c>
      <c r="F19" s="9">
        <v>134</v>
      </c>
      <c r="G19" s="8">
        <v>21</v>
      </c>
      <c r="H19" s="8">
        <v>9</v>
      </c>
      <c r="I19" s="8">
        <v>23</v>
      </c>
    </row>
    <row r="20" spans="1:9" ht="19.05" customHeight="1" x14ac:dyDescent="0.35">
      <c r="A20" s="20" t="s">
        <v>20</v>
      </c>
      <c r="B20" s="20" t="s">
        <v>21</v>
      </c>
      <c r="C20" s="20" t="s">
        <v>83</v>
      </c>
      <c r="D20" s="8">
        <v>16</v>
      </c>
      <c r="E20" s="8">
        <v>14</v>
      </c>
      <c r="F20" s="9">
        <v>30</v>
      </c>
      <c r="G20" s="8">
        <v>5</v>
      </c>
      <c r="H20" s="8">
        <v>8</v>
      </c>
      <c r="I20" s="8">
        <v>10</v>
      </c>
    </row>
    <row r="21" spans="1:9" ht="19.05" customHeight="1" x14ac:dyDescent="0.35">
      <c r="A21" s="20" t="s">
        <v>20</v>
      </c>
      <c r="B21" s="20" t="s">
        <v>21</v>
      </c>
      <c r="C21" s="20" t="s">
        <v>111</v>
      </c>
      <c r="D21" s="8">
        <v>9</v>
      </c>
      <c r="E21" s="8">
        <v>12</v>
      </c>
      <c r="F21" s="9">
        <v>21</v>
      </c>
      <c r="G21" s="8">
        <v>4</v>
      </c>
      <c r="H21" s="8">
        <v>2</v>
      </c>
      <c r="I21" s="8">
        <v>6</v>
      </c>
    </row>
    <row r="22" spans="1:9" ht="19.05" customHeight="1" x14ac:dyDescent="0.35">
      <c r="A22" s="20" t="s">
        <v>20</v>
      </c>
      <c r="B22" s="20" t="s">
        <v>21</v>
      </c>
      <c r="C22" s="20" t="s">
        <v>144</v>
      </c>
      <c r="D22" s="8">
        <v>7</v>
      </c>
      <c r="E22" s="8">
        <v>0</v>
      </c>
      <c r="F22" s="9">
        <v>7</v>
      </c>
      <c r="G22" s="8">
        <v>3</v>
      </c>
      <c r="H22" s="8">
        <v>0</v>
      </c>
      <c r="I22" s="8">
        <v>3</v>
      </c>
    </row>
    <row r="23" spans="1:9" ht="24" customHeight="1" x14ac:dyDescent="0.3">
      <c r="A23" s="31" t="s">
        <v>169</v>
      </c>
      <c r="B23" s="27"/>
      <c r="C23" s="27"/>
      <c r="D23" s="27"/>
      <c r="E23" s="27"/>
      <c r="F23" s="27"/>
      <c r="G23" s="27"/>
      <c r="H23" s="27"/>
      <c r="I23" s="27"/>
    </row>
    <row r="24" spans="1:9" ht="19.95" customHeight="1" x14ac:dyDescent="0.3">
      <c r="A24" s="30" t="s">
        <v>170</v>
      </c>
      <c r="B24" s="27"/>
      <c r="C24" s="27"/>
      <c r="D24" s="27"/>
      <c r="E24" s="27"/>
      <c r="F24" s="27"/>
      <c r="G24" s="27"/>
      <c r="H24" s="27"/>
      <c r="I24" s="27"/>
    </row>
    <row r="25" spans="1:9" ht="19.05" customHeight="1" x14ac:dyDescent="0.35">
      <c r="A25" s="20" t="s">
        <v>16</v>
      </c>
      <c r="B25" s="20" t="s">
        <v>44</v>
      </c>
      <c r="C25" s="20" t="s">
        <v>45</v>
      </c>
      <c r="D25" s="8">
        <v>44</v>
      </c>
      <c r="E25" s="8">
        <v>16</v>
      </c>
      <c r="F25" s="9">
        <v>60</v>
      </c>
      <c r="G25" s="8">
        <v>17</v>
      </c>
      <c r="H25" s="8">
        <v>8</v>
      </c>
      <c r="I25" s="8">
        <v>22</v>
      </c>
    </row>
    <row r="26" spans="1:9" ht="19.05" customHeight="1" x14ac:dyDescent="0.35">
      <c r="A26" s="20" t="s">
        <v>16</v>
      </c>
      <c r="B26" s="20" t="s">
        <v>44</v>
      </c>
      <c r="C26" s="20" t="s">
        <v>47</v>
      </c>
      <c r="D26" s="8">
        <v>21</v>
      </c>
      <c r="E26" s="8">
        <v>27</v>
      </c>
      <c r="F26" s="9">
        <v>48</v>
      </c>
      <c r="G26" s="8">
        <v>6</v>
      </c>
      <c r="H26" s="8">
        <v>3</v>
      </c>
      <c r="I26" s="8">
        <v>9</v>
      </c>
    </row>
    <row r="27" spans="1:9" ht="19.05" customHeight="1" x14ac:dyDescent="0.35">
      <c r="A27" s="20" t="s">
        <v>16</v>
      </c>
      <c r="B27" s="20" t="s">
        <v>44</v>
      </c>
      <c r="C27" s="20" t="s">
        <v>49</v>
      </c>
      <c r="D27" s="8">
        <v>45</v>
      </c>
      <c r="E27" s="8">
        <v>2</v>
      </c>
      <c r="F27" s="9">
        <v>47</v>
      </c>
      <c r="G27" s="8">
        <v>18</v>
      </c>
      <c r="H27" s="8">
        <v>2</v>
      </c>
      <c r="I27" s="8">
        <v>18</v>
      </c>
    </row>
    <row r="28" spans="1:9" ht="19.95" customHeight="1" x14ac:dyDescent="0.3">
      <c r="A28" s="30" t="s">
        <v>171</v>
      </c>
      <c r="B28" s="27"/>
      <c r="C28" s="27"/>
      <c r="D28" s="27"/>
      <c r="E28" s="27"/>
      <c r="F28" s="27"/>
      <c r="G28" s="27"/>
      <c r="H28" s="27"/>
      <c r="I28" s="27"/>
    </row>
    <row r="29" spans="1:9" ht="19.05" customHeight="1" x14ac:dyDescent="0.35">
      <c r="A29" s="20" t="s">
        <v>16</v>
      </c>
      <c r="B29" s="20" t="s">
        <v>65</v>
      </c>
      <c r="C29" s="20" t="s">
        <v>66</v>
      </c>
      <c r="D29" s="8">
        <v>33</v>
      </c>
      <c r="E29" s="8">
        <v>6</v>
      </c>
      <c r="F29" s="9">
        <v>39</v>
      </c>
      <c r="G29" s="8">
        <v>12</v>
      </c>
      <c r="H29" s="8">
        <v>4</v>
      </c>
      <c r="I29" s="8">
        <v>13</v>
      </c>
    </row>
    <row r="30" spans="1:9" ht="19.05" customHeight="1" x14ac:dyDescent="0.35">
      <c r="A30" s="20" t="s">
        <v>16</v>
      </c>
      <c r="B30" s="20" t="s">
        <v>65</v>
      </c>
      <c r="C30" s="20" t="s">
        <v>74</v>
      </c>
      <c r="D30" s="8">
        <v>30</v>
      </c>
      <c r="E30" s="8">
        <v>4</v>
      </c>
      <c r="F30" s="9">
        <v>34</v>
      </c>
      <c r="G30" s="8">
        <v>17</v>
      </c>
      <c r="H30" s="8">
        <v>2</v>
      </c>
      <c r="I30" s="8">
        <v>18</v>
      </c>
    </row>
    <row r="31" spans="1:9" ht="19.05" customHeight="1" x14ac:dyDescent="0.35">
      <c r="A31" s="20" t="s">
        <v>16</v>
      </c>
      <c r="B31" s="20" t="s">
        <v>65</v>
      </c>
      <c r="C31" s="20" t="s">
        <v>91</v>
      </c>
      <c r="D31" s="8">
        <v>24</v>
      </c>
      <c r="E31" s="8">
        <v>5</v>
      </c>
      <c r="F31" s="9">
        <v>29</v>
      </c>
      <c r="G31" s="8">
        <v>3</v>
      </c>
      <c r="H31" s="8">
        <v>1</v>
      </c>
      <c r="I31" s="8">
        <v>3</v>
      </c>
    </row>
    <row r="32" spans="1:9" ht="19.05" customHeight="1" x14ac:dyDescent="0.35">
      <c r="A32" s="20" t="s">
        <v>16</v>
      </c>
      <c r="B32" s="20" t="s">
        <v>65</v>
      </c>
      <c r="C32" s="20" t="s">
        <v>87</v>
      </c>
      <c r="D32" s="8">
        <v>29</v>
      </c>
      <c r="E32" s="8">
        <v>0</v>
      </c>
      <c r="F32" s="9">
        <v>29</v>
      </c>
      <c r="G32" s="8">
        <v>3</v>
      </c>
      <c r="H32" s="8">
        <v>0</v>
      </c>
      <c r="I32" s="8">
        <v>3</v>
      </c>
    </row>
    <row r="33" spans="1:9" ht="19.05" customHeight="1" x14ac:dyDescent="0.35">
      <c r="A33" s="20" t="s">
        <v>16</v>
      </c>
      <c r="B33" s="20" t="s">
        <v>65</v>
      </c>
      <c r="C33" s="20" t="s">
        <v>109</v>
      </c>
      <c r="D33" s="8">
        <v>16</v>
      </c>
      <c r="E33" s="8">
        <v>7</v>
      </c>
      <c r="F33" s="9">
        <v>23</v>
      </c>
      <c r="G33" s="8">
        <v>10</v>
      </c>
      <c r="H33" s="8">
        <v>6</v>
      </c>
      <c r="I33" s="8">
        <v>13</v>
      </c>
    </row>
    <row r="34" spans="1:9" ht="19.05" customHeight="1" x14ac:dyDescent="0.35">
      <c r="A34" s="20" t="s">
        <v>16</v>
      </c>
      <c r="B34" s="20" t="s">
        <v>65</v>
      </c>
      <c r="C34" s="20" t="s">
        <v>113</v>
      </c>
      <c r="D34" s="8">
        <v>15</v>
      </c>
      <c r="E34" s="8">
        <v>5</v>
      </c>
      <c r="F34" s="9">
        <v>20</v>
      </c>
      <c r="G34" s="8">
        <v>10</v>
      </c>
      <c r="H34" s="8">
        <v>2</v>
      </c>
      <c r="I34" s="8">
        <v>10</v>
      </c>
    </row>
    <row r="35" spans="1:9" ht="19.05" customHeight="1" x14ac:dyDescent="0.35">
      <c r="A35" s="20" t="s">
        <v>16</v>
      </c>
      <c r="B35" s="20" t="s">
        <v>65</v>
      </c>
      <c r="C35" s="20" t="s">
        <v>119</v>
      </c>
      <c r="D35" s="8">
        <v>13</v>
      </c>
      <c r="E35" s="8">
        <v>4</v>
      </c>
      <c r="F35" s="9">
        <v>17</v>
      </c>
      <c r="G35" s="8">
        <v>9</v>
      </c>
      <c r="H35" s="8">
        <v>3</v>
      </c>
      <c r="I35" s="8">
        <v>11</v>
      </c>
    </row>
    <row r="36" spans="1:9" ht="19.05" customHeight="1" x14ac:dyDescent="0.35">
      <c r="A36" s="20" t="s">
        <v>16</v>
      </c>
      <c r="B36" s="20" t="s">
        <v>65</v>
      </c>
      <c r="C36" s="20" t="s">
        <v>124</v>
      </c>
      <c r="D36" s="8">
        <v>11</v>
      </c>
      <c r="E36" s="8">
        <v>3</v>
      </c>
      <c r="F36" s="9">
        <v>14</v>
      </c>
      <c r="G36" s="8">
        <v>10</v>
      </c>
      <c r="H36" s="8">
        <v>3</v>
      </c>
      <c r="I36" s="8">
        <v>11</v>
      </c>
    </row>
    <row r="37" spans="1:9" ht="19.05" customHeight="1" x14ac:dyDescent="0.35">
      <c r="A37" s="20" t="s">
        <v>16</v>
      </c>
      <c r="B37" s="20" t="s">
        <v>65</v>
      </c>
      <c r="C37" s="20" t="s">
        <v>128</v>
      </c>
      <c r="D37" s="8">
        <v>8</v>
      </c>
      <c r="E37" s="8">
        <v>5</v>
      </c>
      <c r="F37" s="9">
        <v>13</v>
      </c>
      <c r="G37" s="8">
        <v>6</v>
      </c>
      <c r="H37" s="8">
        <v>5</v>
      </c>
      <c r="I37" s="8">
        <v>9</v>
      </c>
    </row>
    <row r="38" spans="1:9" ht="19.05" customHeight="1" x14ac:dyDescent="0.35">
      <c r="A38" s="20" t="s">
        <v>16</v>
      </c>
      <c r="B38" s="20" t="s">
        <v>65</v>
      </c>
      <c r="C38" s="20" t="s">
        <v>150</v>
      </c>
      <c r="D38" s="8">
        <v>4</v>
      </c>
      <c r="E38" s="8">
        <v>1</v>
      </c>
      <c r="F38" s="9">
        <v>5</v>
      </c>
      <c r="G38" s="8">
        <v>4</v>
      </c>
      <c r="H38" s="8">
        <v>1</v>
      </c>
      <c r="I38" s="8">
        <v>4</v>
      </c>
    </row>
    <row r="39" spans="1:9" ht="19.05" customHeight="1" x14ac:dyDescent="0.35">
      <c r="A39" s="20" t="s">
        <v>16</v>
      </c>
      <c r="B39" s="20" t="s">
        <v>65</v>
      </c>
      <c r="C39" s="20" t="s">
        <v>65</v>
      </c>
      <c r="D39" s="8">
        <v>3</v>
      </c>
      <c r="E39" s="8">
        <v>0</v>
      </c>
      <c r="F39" s="9">
        <v>3</v>
      </c>
      <c r="G39" s="8">
        <v>1</v>
      </c>
      <c r="H39" s="8">
        <v>0</v>
      </c>
      <c r="I39" s="8">
        <v>1</v>
      </c>
    </row>
    <row r="40" spans="1:9" ht="19.95" customHeight="1" x14ac:dyDescent="0.3">
      <c r="A40" s="30" t="s">
        <v>172</v>
      </c>
      <c r="B40" s="27"/>
      <c r="C40" s="27"/>
      <c r="D40" s="27"/>
      <c r="E40" s="27"/>
      <c r="F40" s="27"/>
      <c r="G40" s="27"/>
      <c r="H40" s="27"/>
      <c r="I40" s="27"/>
    </row>
    <row r="41" spans="1:9" ht="19.05" customHeight="1" x14ac:dyDescent="0.35">
      <c r="A41" s="20" t="s">
        <v>16</v>
      </c>
      <c r="B41" s="20" t="s">
        <v>17</v>
      </c>
      <c r="C41" s="20" t="s">
        <v>18</v>
      </c>
      <c r="D41" s="8">
        <v>154</v>
      </c>
      <c r="E41" s="8">
        <v>0</v>
      </c>
      <c r="F41" s="9">
        <v>154</v>
      </c>
      <c r="G41" s="8">
        <v>12</v>
      </c>
      <c r="H41" s="8">
        <v>0</v>
      </c>
      <c r="I41" s="8">
        <v>12</v>
      </c>
    </row>
    <row r="42" spans="1:9" ht="24" customHeight="1" x14ac:dyDescent="0.3">
      <c r="A42" s="31" t="s">
        <v>173</v>
      </c>
      <c r="B42" s="27"/>
      <c r="C42" s="27"/>
      <c r="D42" s="27"/>
      <c r="E42" s="27"/>
      <c r="F42" s="27"/>
      <c r="G42" s="27"/>
      <c r="H42" s="27"/>
      <c r="I42" s="27"/>
    </row>
    <row r="43" spans="1:9" ht="19.95" customHeight="1" x14ac:dyDescent="0.3">
      <c r="A43" s="30" t="s">
        <v>174</v>
      </c>
      <c r="B43" s="27"/>
      <c r="C43" s="27"/>
      <c r="D43" s="27"/>
      <c r="E43" s="27"/>
      <c r="F43" s="27"/>
      <c r="G43" s="27"/>
      <c r="H43" s="27"/>
      <c r="I43" s="27"/>
    </row>
    <row r="44" spans="1:9" ht="19.05" customHeight="1" x14ac:dyDescent="0.35">
      <c r="A44" s="20" t="s">
        <v>13</v>
      </c>
      <c r="B44" s="20" t="s">
        <v>31</v>
      </c>
      <c r="C44" s="20" t="s">
        <v>32</v>
      </c>
      <c r="D44" s="8">
        <v>37</v>
      </c>
      <c r="E44" s="8">
        <v>42</v>
      </c>
      <c r="F44" s="9">
        <v>79</v>
      </c>
      <c r="G44" s="8">
        <v>29</v>
      </c>
      <c r="H44" s="8">
        <v>28</v>
      </c>
      <c r="I44" s="8">
        <v>35</v>
      </c>
    </row>
    <row r="45" spans="1:9" ht="19.95" customHeight="1" x14ac:dyDescent="0.3">
      <c r="A45" s="30" t="s">
        <v>175</v>
      </c>
      <c r="B45" s="27"/>
      <c r="C45" s="27"/>
      <c r="D45" s="27"/>
      <c r="E45" s="27"/>
      <c r="F45" s="27"/>
      <c r="G45" s="27"/>
      <c r="H45" s="27"/>
      <c r="I45" s="27"/>
    </row>
    <row r="46" spans="1:9" ht="19.05" customHeight="1" x14ac:dyDescent="0.35">
      <c r="A46" s="20" t="s">
        <v>13</v>
      </c>
      <c r="B46" s="20" t="s">
        <v>60</v>
      </c>
      <c r="C46" s="20" t="s">
        <v>61</v>
      </c>
      <c r="D46" s="8">
        <v>11</v>
      </c>
      <c r="E46" s="8">
        <v>30</v>
      </c>
      <c r="F46" s="9">
        <v>41</v>
      </c>
      <c r="G46" s="8">
        <v>10</v>
      </c>
      <c r="H46" s="8">
        <v>22</v>
      </c>
      <c r="I46" s="8">
        <v>29</v>
      </c>
    </row>
    <row r="47" spans="1:9" ht="19.05" customHeight="1" x14ac:dyDescent="0.35">
      <c r="A47" s="20" t="s">
        <v>13</v>
      </c>
      <c r="B47" s="20" t="s">
        <v>60</v>
      </c>
      <c r="C47" s="20" t="s">
        <v>72</v>
      </c>
      <c r="D47" s="8">
        <v>18</v>
      </c>
      <c r="E47" s="8">
        <v>17</v>
      </c>
      <c r="F47" s="9">
        <v>35</v>
      </c>
      <c r="G47" s="8">
        <v>8</v>
      </c>
      <c r="H47" s="8">
        <v>11</v>
      </c>
      <c r="I47" s="8">
        <v>13</v>
      </c>
    </row>
    <row r="48" spans="1:9" ht="19.05" customHeight="1" x14ac:dyDescent="0.35">
      <c r="A48" s="20" t="s">
        <v>13</v>
      </c>
      <c r="B48" s="20" t="s">
        <v>60</v>
      </c>
      <c r="C48" s="20" t="s">
        <v>99</v>
      </c>
      <c r="D48" s="8">
        <v>18</v>
      </c>
      <c r="E48" s="8">
        <v>7</v>
      </c>
      <c r="F48" s="9">
        <v>25</v>
      </c>
      <c r="G48" s="8">
        <v>17</v>
      </c>
      <c r="H48" s="8">
        <v>6</v>
      </c>
      <c r="I48" s="8">
        <v>21</v>
      </c>
    </row>
    <row r="49" spans="1:9" ht="19.05" customHeight="1" x14ac:dyDescent="0.35">
      <c r="A49" s="20" t="s">
        <v>13</v>
      </c>
      <c r="B49" s="20" t="s">
        <v>60</v>
      </c>
      <c r="C49" s="20" t="s">
        <v>115</v>
      </c>
      <c r="D49" s="8">
        <v>12</v>
      </c>
      <c r="E49" s="8">
        <v>7</v>
      </c>
      <c r="F49" s="9">
        <v>19</v>
      </c>
      <c r="G49" s="8">
        <v>11</v>
      </c>
      <c r="H49" s="8">
        <v>6</v>
      </c>
      <c r="I49" s="8">
        <v>13</v>
      </c>
    </row>
    <row r="50" spans="1:9" ht="19.05" customHeight="1" x14ac:dyDescent="0.35">
      <c r="A50" s="20" t="s">
        <v>13</v>
      </c>
      <c r="B50" s="20" t="s">
        <v>60</v>
      </c>
      <c r="C50" s="20" t="s">
        <v>136</v>
      </c>
      <c r="D50" s="8">
        <v>5</v>
      </c>
      <c r="E50" s="8">
        <v>5</v>
      </c>
      <c r="F50" s="9">
        <v>10</v>
      </c>
      <c r="G50" s="8">
        <v>5</v>
      </c>
      <c r="H50" s="8">
        <v>5</v>
      </c>
      <c r="I50" s="8">
        <v>10</v>
      </c>
    </row>
    <row r="51" spans="1:9" ht="19.05" customHeight="1" x14ac:dyDescent="0.35">
      <c r="A51" s="20" t="s">
        <v>13</v>
      </c>
      <c r="B51" s="20" t="s">
        <v>60</v>
      </c>
      <c r="C51" s="20" t="s">
        <v>142</v>
      </c>
      <c r="D51" s="8">
        <v>2</v>
      </c>
      <c r="E51" s="8">
        <v>6</v>
      </c>
      <c r="F51" s="9">
        <v>8</v>
      </c>
      <c r="G51" s="8">
        <v>2</v>
      </c>
      <c r="H51" s="8">
        <v>3</v>
      </c>
      <c r="I51" s="8">
        <v>5</v>
      </c>
    </row>
    <row r="52" spans="1:9" ht="19.95" customHeight="1" x14ac:dyDescent="0.3">
      <c r="A52" s="30" t="s">
        <v>176</v>
      </c>
      <c r="B52" s="27"/>
      <c r="C52" s="27"/>
      <c r="D52" s="27"/>
      <c r="E52" s="27"/>
      <c r="F52" s="27"/>
      <c r="G52" s="27"/>
      <c r="H52" s="27"/>
      <c r="I52" s="27"/>
    </row>
    <row r="53" spans="1:9" ht="19.05" customHeight="1" x14ac:dyDescent="0.35">
      <c r="A53" s="20" t="s">
        <v>13</v>
      </c>
      <c r="B53" s="20" t="s">
        <v>14</v>
      </c>
      <c r="C53" s="20" t="s">
        <v>14</v>
      </c>
      <c r="D53" s="8">
        <v>130</v>
      </c>
      <c r="E53" s="8">
        <v>39</v>
      </c>
      <c r="F53" s="9">
        <v>169</v>
      </c>
      <c r="G53" s="8">
        <v>9</v>
      </c>
      <c r="H53" s="8">
        <v>8</v>
      </c>
      <c r="I53" s="8">
        <v>10</v>
      </c>
    </row>
    <row r="54" spans="1:9" ht="19.95" customHeight="1" x14ac:dyDescent="0.3">
      <c r="A54" s="30" t="s">
        <v>177</v>
      </c>
      <c r="B54" s="27"/>
      <c r="C54" s="27"/>
      <c r="D54" s="27"/>
      <c r="E54" s="27"/>
      <c r="F54" s="27"/>
      <c r="G54" s="27"/>
      <c r="H54" s="27"/>
      <c r="I54" s="27"/>
    </row>
    <row r="55" spans="1:9" ht="19.05" customHeight="1" x14ac:dyDescent="0.35">
      <c r="A55" s="20" t="s">
        <v>13</v>
      </c>
      <c r="B55" s="20" t="s">
        <v>24</v>
      </c>
      <c r="C55" s="20" t="s">
        <v>25</v>
      </c>
      <c r="D55" s="8">
        <v>128</v>
      </c>
      <c r="E55" s="8">
        <v>4</v>
      </c>
      <c r="F55" s="9">
        <v>132</v>
      </c>
      <c r="G55" s="8">
        <v>38</v>
      </c>
      <c r="H55" s="8">
        <v>4</v>
      </c>
      <c r="I55" s="8">
        <v>38</v>
      </c>
    </row>
    <row r="56" spans="1:9" ht="19.05" customHeight="1" x14ac:dyDescent="0.35">
      <c r="A56" s="20" t="s">
        <v>13</v>
      </c>
      <c r="B56" s="20" t="s">
        <v>24</v>
      </c>
      <c r="C56" s="20" t="s">
        <v>40</v>
      </c>
      <c r="D56" s="8">
        <v>58</v>
      </c>
      <c r="E56" s="8">
        <v>5</v>
      </c>
      <c r="F56" s="9">
        <v>63</v>
      </c>
      <c r="G56" s="8">
        <v>35</v>
      </c>
      <c r="H56" s="8">
        <v>5</v>
      </c>
      <c r="I56" s="8">
        <v>35</v>
      </c>
    </row>
    <row r="57" spans="1:9" ht="19.95" customHeight="1" x14ac:dyDescent="0.3">
      <c r="A57" s="30" t="s">
        <v>178</v>
      </c>
      <c r="B57" s="27"/>
      <c r="C57" s="27"/>
      <c r="D57" s="27"/>
      <c r="E57" s="27"/>
      <c r="F57" s="27"/>
      <c r="G57" s="27"/>
      <c r="H57" s="27"/>
      <c r="I57" s="27"/>
    </row>
    <row r="58" spans="1:9" ht="19.05" customHeight="1" x14ac:dyDescent="0.35">
      <c r="A58" s="20" t="s">
        <v>13</v>
      </c>
      <c r="B58" s="20" t="s">
        <v>78</v>
      </c>
      <c r="C58" s="20" t="s">
        <v>79</v>
      </c>
      <c r="D58" s="8">
        <v>28</v>
      </c>
      <c r="E58" s="8">
        <v>2</v>
      </c>
      <c r="F58" s="9">
        <v>30</v>
      </c>
      <c r="G58" s="8">
        <v>17</v>
      </c>
      <c r="H58" s="8">
        <v>1</v>
      </c>
      <c r="I58" s="8">
        <v>17</v>
      </c>
    </row>
    <row r="59" spans="1:9" ht="19.05" customHeight="1" x14ac:dyDescent="0.35">
      <c r="A59" s="20" t="s">
        <v>13</v>
      </c>
      <c r="B59" s="20" t="s">
        <v>78</v>
      </c>
      <c r="C59" s="20" t="s">
        <v>93</v>
      </c>
      <c r="D59" s="8">
        <v>26</v>
      </c>
      <c r="E59" s="8">
        <v>2</v>
      </c>
      <c r="F59" s="9">
        <v>28</v>
      </c>
      <c r="G59" s="8">
        <v>23</v>
      </c>
      <c r="H59" s="8">
        <v>2</v>
      </c>
      <c r="I59" s="8">
        <v>25</v>
      </c>
    </row>
    <row r="60" spans="1:9" ht="19.05" customHeight="1" x14ac:dyDescent="0.35">
      <c r="A60" s="20" t="s">
        <v>13</v>
      </c>
      <c r="B60" s="20" t="s">
        <v>78</v>
      </c>
      <c r="C60" s="20" t="s">
        <v>78</v>
      </c>
      <c r="D60" s="8">
        <v>7</v>
      </c>
      <c r="E60" s="8">
        <v>10</v>
      </c>
      <c r="F60" s="9">
        <v>17</v>
      </c>
      <c r="G60" s="8">
        <v>7</v>
      </c>
      <c r="H60" s="8">
        <v>9</v>
      </c>
      <c r="I60" s="8">
        <v>16</v>
      </c>
    </row>
    <row r="61" spans="1:9" ht="19.05" customHeight="1" x14ac:dyDescent="0.35">
      <c r="A61" s="20" t="s">
        <v>13</v>
      </c>
      <c r="B61" s="20" t="s">
        <v>78</v>
      </c>
      <c r="C61" s="20" t="s">
        <v>126</v>
      </c>
      <c r="D61" s="8">
        <v>11</v>
      </c>
      <c r="E61" s="8">
        <v>2</v>
      </c>
      <c r="F61" s="9">
        <v>13</v>
      </c>
      <c r="G61" s="8">
        <v>8</v>
      </c>
      <c r="H61" s="8">
        <v>2</v>
      </c>
      <c r="I61" s="8">
        <v>10</v>
      </c>
    </row>
    <row r="62" spans="1:9" ht="19.05" customHeight="1" x14ac:dyDescent="0.35">
      <c r="A62" s="20" t="s">
        <v>13</v>
      </c>
      <c r="B62" s="20" t="s">
        <v>78</v>
      </c>
      <c r="C62" s="20" t="s">
        <v>132</v>
      </c>
      <c r="D62" s="8">
        <v>8</v>
      </c>
      <c r="E62" s="8">
        <v>3</v>
      </c>
      <c r="F62" s="9">
        <v>11</v>
      </c>
      <c r="G62" s="8">
        <v>5</v>
      </c>
      <c r="H62" s="8">
        <v>3</v>
      </c>
      <c r="I62" s="8">
        <v>8</v>
      </c>
    </row>
    <row r="63" spans="1:9" ht="19.05" customHeight="1" x14ac:dyDescent="0.35">
      <c r="A63" s="20" t="s">
        <v>13</v>
      </c>
      <c r="B63" s="20" t="s">
        <v>78</v>
      </c>
      <c r="C63" s="20" t="s">
        <v>146</v>
      </c>
      <c r="D63" s="8">
        <v>3</v>
      </c>
      <c r="E63" s="8">
        <v>4</v>
      </c>
      <c r="F63" s="9">
        <v>7</v>
      </c>
      <c r="G63" s="8">
        <v>3</v>
      </c>
      <c r="H63" s="8">
        <v>3</v>
      </c>
      <c r="I63" s="8">
        <v>6</v>
      </c>
    </row>
    <row r="64" spans="1:9" ht="19.95" customHeight="1" x14ac:dyDescent="0.3">
      <c r="A64" s="30" t="s">
        <v>179</v>
      </c>
      <c r="B64" s="27"/>
      <c r="C64" s="27"/>
      <c r="D64" s="27"/>
      <c r="E64" s="27"/>
      <c r="F64" s="27"/>
      <c r="G64" s="27"/>
      <c r="H64" s="27"/>
      <c r="I64" s="27"/>
    </row>
    <row r="65" spans="1:9" ht="19.05" customHeight="1" x14ac:dyDescent="0.35">
      <c r="A65" s="20" t="s">
        <v>13</v>
      </c>
      <c r="B65" s="20" t="s">
        <v>51</v>
      </c>
      <c r="C65" s="20" t="s">
        <v>52</v>
      </c>
      <c r="D65" s="8">
        <v>37</v>
      </c>
      <c r="E65" s="8">
        <v>10</v>
      </c>
      <c r="F65" s="9">
        <v>47</v>
      </c>
      <c r="G65" s="8">
        <v>10</v>
      </c>
      <c r="H65" s="8">
        <v>9</v>
      </c>
      <c r="I65" s="8">
        <v>17</v>
      </c>
    </row>
    <row r="66" spans="1:9" ht="19.05" customHeight="1" x14ac:dyDescent="0.35">
      <c r="A66" s="20" t="s">
        <v>13</v>
      </c>
      <c r="B66" s="20" t="s">
        <v>51</v>
      </c>
      <c r="C66" s="20" t="s">
        <v>58</v>
      </c>
      <c r="D66" s="8">
        <v>36</v>
      </c>
      <c r="E66" s="8">
        <v>6</v>
      </c>
      <c r="F66" s="9">
        <v>42</v>
      </c>
      <c r="G66" s="8">
        <v>6</v>
      </c>
      <c r="H66" s="8">
        <v>5</v>
      </c>
      <c r="I66" s="8">
        <v>8</v>
      </c>
    </row>
    <row r="67" spans="1:9" ht="19.05" customHeight="1" x14ac:dyDescent="0.35">
      <c r="A67" s="20" t="s">
        <v>13</v>
      </c>
      <c r="B67" s="20" t="s">
        <v>51</v>
      </c>
      <c r="C67" s="20" t="s">
        <v>95</v>
      </c>
      <c r="D67" s="8">
        <v>23</v>
      </c>
      <c r="E67" s="8">
        <v>4</v>
      </c>
      <c r="F67" s="9">
        <v>27</v>
      </c>
      <c r="G67" s="8">
        <v>6</v>
      </c>
      <c r="H67" s="8">
        <v>2</v>
      </c>
      <c r="I67" s="8">
        <v>7</v>
      </c>
    </row>
    <row r="68" spans="1:9" ht="19.05" customHeight="1" x14ac:dyDescent="0.35">
      <c r="A68" s="20" t="s">
        <v>13</v>
      </c>
      <c r="B68" s="20" t="s">
        <v>51</v>
      </c>
      <c r="C68" s="20" t="s">
        <v>138</v>
      </c>
      <c r="D68" s="8">
        <v>3</v>
      </c>
      <c r="E68" s="8">
        <v>7</v>
      </c>
      <c r="F68" s="9">
        <v>10</v>
      </c>
      <c r="G68" s="8">
        <v>2</v>
      </c>
      <c r="H68" s="8">
        <v>6</v>
      </c>
      <c r="I68" s="8">
        <v>7</v>
      </c>
    </row>
    <row r="69" spans="1:9" ht="19.05" customHeight="1" x14ac:dyDescent="0.35">
      <c r="A69" s="20" t="s">
        <v>13</v>
      </c>
      <c r="B69" s="20" t="s">
        <v>51</v>
      </c>
      <c r="C69" s="20" t="s">
        <v>148</v>
      </c>
      <c r="D69" s="8">
        <v>0</v>
      </c>
      <c r="E69" s="8">
        <v>7</v>
      </c>
      <c r="F69" s="9">
        <v>7</v>
      </c>
      <c r="G69" s="8">
        <v>0</v>
      </c>
      <c r="H69" s="8">
        <v>2</v>
      </c>
      <c r="I69" s="8">
        <v>2</v>
      </c>
    </row>
    <row r="70" spans="1:9" ht="19.95" customHeight="1" x14ac:dyDescent="0.3">
      <c r="A70" s="30" t="s">
        <v>180</v>
      </c>
      <c r="B70" s="27"/>
      <c r="C70" s="27"/>
      <c r="D70" s="27"/>
      <c r="E70" s="27"/>
      <c r="F70" s="27"/>
      <c r="G70" s="27"/>
      <c r="H70" s="27"/>
      <c r="I70" s="27"/>
    </row>
    <row r="71" spans="1:9" ht="19.05" customHeight="1" x14ac:dyDescent="0.35">
      <c r="A71" s="20" t="s">
        <v>13</v>
      </c>
      <c r="B71" s="20" t="s">
        <v>37</v>
      </c>
      <c r="C71" s="20" t="s">
        <v>38</v>
      </c>
      <c r="D71" s="8">
        <v>34</v>
      </c>
      <c r="E71" s="8">
        <v>30</v>
      </c>
      <c r="F71" s="9">
        <v>64</v>
      </c>
      <c r="G71" s="8">
        <v>31</v>
      </c>
      <c r="H71" s="8">
        <v>13</v>
      </c>
      <c r="I71" s="8">
        <v>37</v>
      </c>
    </row>
    <row r="72" spans="1:9" ht="19.05" customHeight="1" x14ac:dyDescent="0.35">
      <c r="A72" s="20" t="s">
        <v>13</v>
      </c>
      <c r="B72" s="20" t="s">
        <v>37</v>
      </c>
      <c r="C72" s="20" t="s">
        <v>63</v>
      </c>
      <c r="D72" s="8">
        <v>19</v>
      </c>
      <c r="E72" s="8">
        <v>21</v>
      </c>
      <c r="F72" s="9">
        <v>40</v>
      </c>
      <c r="G72" s="8">
        <v>15</v>
      </c>
      <c r="H72" s="8">
        <v>11</v>
      </c>
      <c r="I72" s="8">
        <v>24</v>
      </c>
    </row>
    <row r="73" spans="1:9" ht="19.05" customHeight="1" x14ac:dyDescent="0.35">
      <c r="A73" s="20" t="s">
        <v>13</v>
      </c>
      <c r="B73" s="20" t="s">
        <v>37</v>
      </c>
      <c r="C73" s="20" t="s">
        <v>70</v>
      </c>
      <c r="D73" s="8">
        <v>10</v>
      </c>
      <c r="E73" s="8">
        <v>26</v>
      </c>
      <c r="F73" s="9">
        <v>36</v>
      </c>
      <c r="G73" s="8">
        <v>10</v>
      </c>
      <c r="H73" s="8">
        <v>18</v>
      </c>
      <c r="I73" s="8">
        <v>25</v>
      </c>
    </row>
    <row r="74" spans="1:9" ht="19.05" customHeight="1" x14ac:dyDescent="0.35">
      <c r="A74" s="20" t="s">
        <v>13</v>
      </c>
      <c r="B74" s="20" t="s">
        <v>37</v>
      </c>
      <c r="C74" s="20" t="s">
        <v>76</v>
      </c>
      <c r="D74" s="8">
        <v>11</v>
      </c>
      <c r="E74" s="8">
        <v>20</v>
      </c>
      <c r="F74" s="9">
        <v>31</v>
      </c>
      <c r="G74" s="8">
        <v>11</v>
      </c>
      <c r="H74" s="8">
        <v>17</v>
      </c>
      <c r="I74" s="8">
        <v>23</v>
      </c>
    </row>
    <row r="75" spans="1:9" ht="19.05" customHeight="1" x14ac:dyDescent="0.35">
      <c r="A75" s="20" t="s">
        <v>13</v>
      </c>
      <c r="B75" s="20" t="s">
        <v>37</v>
      </c>
      <c r="C75" s="20" t="s">
        <v>85</v>
      </c>
      <c r="D75" s="8">
        <v>12</v>
      </c>
      <c r="E75" s="8">
        <v>18</v>
      </c>
      <c r="F75" s="9">
        <v>30</v>
      </c>
      <c r="G75" s="8">
        <v>10</v>
      </c>
      <c r="H75" s="8">
        <v>10</v>
      </c>
      <c r="I75" s="8">
        <v>17</v>
      </c>
    </row>
    <row r="76" spans="1:9" ht="19.05" customHeight="1" x14ac:dyDescent="0.35">
      <c r="A76" s="20" t="s">
        <v>13</v>
      </c>
      <c r="B76" s="20" t="s">
        <v>37</v>
      </c>
      <c r="C76" s="20" t="s">
        <v>89</v>
      </c>
      <c r="D76" s="8">
        <v>27</v>
      </c>
      <c r="E76" s="8">
        <v>2</v>
      </c>
      <c r="F76" s="9">
        <v>29</v>
      </c>
      <c r="G76" s="8">
        <v>12</v>
      </c>
      <c r="H76" s="8">
        <v>1</v>
      </c>
      <c r="I76" s="8">
        <v>13</v>
      </c>
    </row>
    <row r="77" spans="1:9" ht="19.05" customHeight="1" x14ac:dyDescent="0.35">
      <c r="A77" s="20" t="s">
        <v>13</v>
      </c>
      <c r="B77" s="20" t="s">
        <v>37</v>
      </c>
      <c r="C77" s="20" t="s">
        <v>105</v>
      </c>
      <c r="D77" s="8">
        <v>19</v>
      </c>
      <c r="E77" s="8">
        <v>5</v>
      </c>
      <c r="F77" s="9">
        <v>24</v>
      </c>
      <c r="G77" s="8">
        <v>14</v>
      </c>
      <c r="H77" s="8">
        <v>3</v>
      </c>
      <c r="I77" s="8">
        <v>14</v>
      </c>
    </row>
    <row r="78" spans="1:9" ht="19.95" customHeight="1" x14ac:dyDescent="0.3">
      <c r="A78" s="30" t="s">
        <v>181</v>
      </c>
      <c r="B78" s="27"/>
      <c r="C78" s="27"/>
      <c r="D78" s="27"/>
      <c r="E78" s="27"/>
      <c r="F78" s="27"/>
      <c r="G78" s="27"/>
      <c r="H78" s="27"/>
      <c r="I78" s="27"/>
    </row>
    <row r="79" spans="1:9" ht="19.05" customHeight="1" x14ac:dyDescent="0.35">
      <c r="A79" s="20" t="s">
        <v>13</v>
      </c>
      <c r="B79" s="20" t="s">
        <v>34</v>
      </c>
      <c r="C79" s="20" t="s">
        <v>35</v>
      </c>
      <c r="D79" s="8">
        <v>72</v>
      </c>
      <c r="E79" s="8">
        <v>1</v>
      </c>
      <c r="F79" s="9">
        <v>73</v>
      </c>
      <c r="G79" s="8">
        <v>11</v>
      </c>
      <c r="H79" s="8">
        <v>1</v>
      </c>
      <c r="I79" s="8">
        <v>11</v>
      </c>
    </row>
    <row r="80" spans="1:9" ht="19.05" customHeight="1" x14ac:dyDescent="0.35">
      <c r="A80" s="20" t="s">
        <v>13</v>
      </c>
      <c r="B80" s="20" t="s">
        <v>34</v>
      </c>
      <c r="C80" s="20" t="s">
        <v>81</v>
      </c>
      <c r="D80" s="8">
        <v>27</v>
      </c>
      <c r="E80" s="8">
        <v>3</v>
      </c>
      <c r="F80" s="9">
        <v>30</v>
      </c>
      <c r="G80" s="8">
        <v>7</v>
      </c>
      <c r="H80" s="8">
        <v>2</v>
      </c>
      <c r="I80" s="8">
        <v>9</v>
      </c>
    </row>
    <row r="81" spans="1:9" ht="19.05" customHeight="1" x14ac:dyDescent="0.35">
      <c r="A81" s="20" t="s">
        <v>13</v>
      </c>
      <c r="B81" s="20" t="s">
        <v>34</v>
      </c>
      <c r="C81" s="20" t="s">
        <v>130</v>
      </c>
      <c r="D81" s="8">
        <v>10</v>
      </c>
      <c r="E81" s="8">
        <v>2</v>
      </c>
      <c r="F81" s="9">
        <v>12</v>
      </c>
      <c r="G81" s="8">
        <v>8</v>
      </c>
      <c r="H81" s="8">
        <v>2</v>
      </c>
      <c r="I81" s="8">
        <v>8</v>
      </c>
    </row>
    <row r="82" spans="1:9" ht="19.05" customHeight="1" x14ac:dyDescent="0.35">
      <c r="A82" s="20" t="s">
        <v>13</v>
      </c>
      <c r="B82" s="20" t="s">
        <v>34</v>
      </c>
      <c r="C82" s="20" t="s">
        <v>134</v>
      </c>
      <c r="D82" s="8">
        <v>10</v>
      </c>
      <c r="E82" s="8">
        <v>0</v>
      </c>
      <c r="F82" s="9">
        <v>10</v>
      </c>
      <c r="G82" s="8">
        <v>7</v>
      </c>
      <c r="H82" s="8">
        <v>0</v>
      </c>
      <c r="I82" s="8">
        <v>7</v>
      </c>
    </row>
    <row r="83" spans="1:9" ht="24" customHeight="1" x14ac:dyDescent="0.3">
      <c r="A83" s="31" t="s">
        <v>182</v>
      </c>
      <c r="B83" s="27"/>
      <c r="C83" s="27"/>
      <c r="D83" s="27"/>
      <c r="E83" s="27"/>
      <c r="F83" s="27"/>
      <c r="G83" s="27"/>
      <c r="H83" s="27"/>
      <c r="I83" s="27"/>
    </row>
    <row r="84" spans="1:9" ht="19.95" customHeight="1" x14ac:dyDescent="0.3">
      <c r="A84" s="30" t="s">
        <v>183</v>
      </c>
      <c r="B84" s="27"/>
      <c r="C84" s="27"/>
      <c r="D84" s="27"/>
      <c r="E84" s="27"/>
      <c r="F84" s="27"/>
      <c r="G84" s="27"/>
      <c r="H84" s="27"/>
      <c r="I84" s="27"/>
    </row>
    <row r="85" spans="1:9" ht="19.05" customHeight="1" x14ac:dyDescent="0.35">
      <c r="A85" s="20" t="s">
        <v>101</v>
      </c>
      <c r="B85" s="20" t="s">
        <v>102</v>
      </c>
      <c r="C85" s="20" t="s">
        <v>103</v>
      </c>
      <c r="D85" s="8">
        <v>14</v>
      </c>
      <c r="E85" s="8">
        <v>11</v>
      </c>
      <c r="F85" s="9">
        <v>25</v>
      </c>
      <c r="G85" s="8">
        <v>8</v>
      </c>
      <c r="H85" s="8">
        <v>4</v>
      </c>
      <c r="I85" s="8">
        <v>10</v>
      </c>
    </row>
    <row r="86" spans="1:9" ht="19.05" customHeight="1" x14ac:dyDescent="0.35">
      <c r="A86" s="20" t="s">
        <v>101</v>
      </c>
      <c r="B86" s="20" t="s">
        <v>102</v>
      </c>
      <c r="C86" s="20" t="s">
        <v>140</v>
      </c>
      <c r="D86" s="8">
        <v>8</v>
      </c>
      <c r="E86" s="8">
        <v>0</v>
      </c>
      <c r="F86" s="9">
        <v>8</v>
      </c>
      <c r="G86" s="8">
        <v>3</v>
      </c>
      <c r="H86" s="8">
        <v>0</v>
      </c>
      <c r="I86" s="8">
        <v>3</v>
      </c>
    </row>
    <row r="87" spans="1:9" ht="24" customHeight="1" x14ac:dyDescent="0.3">
      <c r="A87" s="31" t="s">
        <v>184</v>
      </c>
      <c r="B87" s="27"/>
      <c r="C87" s="27"/>
      <c r="D87" s="27"/>
      <c r="E87" s="27"/>
      <c r="F87" s="27"/>
      <c r="G87" s="27"/>
      <c r="H87" s="27"/>
      <c r="I87" s="27"/>
    </row>
    <row r="88" spans="1:9" ht="19.95" customHeight="1" x14ac:dyDescent="0.3">
      <c r="A88" s="30" t="s">
        <v>185</v>
      </c>
      <c r="B88" s="27"/>
      <c r="C88" s="27"/>
      <c r="D88" s="27"/>
      <c r="E88" s="27"/>
      <c r="F88" s="27"/>
      <c r="G88" s="27"/>
      <c r="H88" s="27"/>
      <c r="I88" s="27"/>
    </row>
    <row r="89" spans="1:9" ht="19.05" customHeight="1" x14ac:dyDescent="0.35">
      <c r="A89" s="20" t="s">
        <v>155</v>
      </c>
      <c r="B89" s="20" t="s">
        <v>156</v>
      </c>
      <c r="C89" s="20" t="s">
        <v>157</v>
      </c>
      <c r="D89" s="8">
        <v>0</v>
      </c>
      <c r="E89" s="8">
        <v>2</v>
      </c>
      <c r="F89" s="9">
        <v>2</v>
      </c>
      <c r="G89" s="8">
        <v>0</v>
      </c>
      <c r="H89" s="8">
        <v>2</v>
      </c>
      <c r="I89" s="8">
        <v>2</v>
      </c>
    </row>
  </sheetData>
  <mergeCells count="23">
    <mergeCell ref="A1:I1"/>
    <mergeCell ref="A45:I45"/>
    <mergeCell ref="A70:I70"/>
    <mergeCell ref="A88:I88"/>
    <mergeCell ref="A87:I87"/>
    <mergeCell ref="A78:I78"/>
    <mergeCell ref="A54:I54"/>
    <mergeCell ref="A4:I4"/>
    <mergeCell ref="A52:I52"/>
    <mergeCell ref="A43:I43"/>
    <mergeCell ref="A28:I28"/>
    <mergeCell ref="A40:I40"/>
    <mergeCell ref="A24:I24"/>
    <mergeCell ref="A15:I15"/>
    <mergeCell ref="A84:I84"/>
    <mergeCell ref="A18:I18"/>
    <mergeCell ref="A57:I57"/>
    <mergeCell ref="A5:I5"/>
    <mergeCell ref="A42:I42"/>
    <mergeCell ref="A17:I17"/>
    <mergeCell ref="A23:I23"/>
    <mergeCell ref="A83:I83"/>
    <mergeCell ref="A64:I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4" x14ac:dyDescent="0.3"/>
  <cols>
    <col min="1" max="1" width="20" customWidth="1"/>
    <col min="2" max="4" width="15" customWidth="1"/>
    <col min="5" max="5" width="20" customWidth="1"/>
    <col min="6" max="6" width="25" customWidth="1"/>
    <col min="7" max="7" width="24" customWidth="1"/>
    <col min="8" max="8" width="23" customWidth="1"/>
    <col min="9" max="9" width="25" customWidth="1"/>
  </cols>
  <sheetData>
    <row r="1" spans="1:9" ht="30" customHeight="1" x14ac:dyDescent="0.3">
      <c r="A1" s="32" t="s">
        <v>186</v>
      </c>
      <c r="B1" s="27"/>
      <c r="C1" s="27"/>
      <c r="D1" s="27"/>
      <c r="E1" s="27"/>
      <c r="F1" s="27"/>
      <c r="G1" s="27"/>
      <c r="H1" s="27"/>
      <c r="I1" s="27"/>
    </row>
    <row r="3" spans="1:9" ht="24" customHeight="1" x14ac:dyDescent="0.3">
      <c r="A3" s="19" t="s">
        <v>187</v>
      </c>
      <c r="B3" s="19" t="s">
        <v>188</v>
      </c>
      <c r="C3" s="19" t="s">
        <v>6</v>
      </c>
      <c r="D3" s="19" t="s">
        <v>7</v>
      </c>
      <c r="E3" s="19" t="s">
        <v>8</v>
      </c>
      <c r="F3" s="19" t="s">
        <v>189</v>
      </c>
      <c r="G3" s="19" t="s">
        <v>190</v>
      </c>
      <c r="H3" s="19" t="s">
        <v>191</v>
      </c>
      <c r="I3" s="19" t="s">
        <v>192</v>
      </c>
    </row>
    <row r="4" spans="1:9" ht="21" customHeight="1" x14ac:dyDescent="0.35">
      <c r="A4" s="21" t="s">
        <v>13</v>
      </c>
      <c r="B4" s="8">
        <v>32</v>
      </c>
      <c r="C4" s="8">
        <v>852</v>
      </c>
      <c r="D4" s="8">
        <v>347</v>
      </c>
      <c r="E4" s="9">
        <v>1199</v>
      </c>
      <c r="F4" s="22">
        <v>0.51681034482758625</v>
      </c>
      <c r="G4" s="8">
        <v>520</v>
      </c>
      <c r="H4" s="23">
        <v>37.46875</v>
      </c>
      <c r="I4" s="23">
        <v>16.25</v>
      </c>
    </row>
    <row r="5" spans="1:9" ht="21" customHeight="1" x14ac:dyDescent="0.35">
      <c r="A5" s="21" t="s">
        <v>16</v>
      </c>
      <c r="B5" s="8">
        <v>15</v>
      </c>
      <c r="C5" s="8">
        <v>450</v>
      </c>
      <c r="D5" s="8">
        <v>85</v>
      </c>
      <c r="E5" s="9">
        <v>535</v>
      </c>
      <c r="F5" s="22">
        <v>0.2306034482758621</v>
      </c>
      <c r="G5" s="8">
        <v>157</v>
      </c>
      <c r="H5" s="23">
        <v>35.666666666666657</v>
      </c>
      <c r="I5" s="23">
        <v>10.46666666666667</v>
      </c>
    </row>
    <row r="6" spans="1:9" ht="21" customHeight="1" x14ac:dyDescent="0.35">
      <c r="A6" s="21" t="s">
        <v>27</v>
      </c>
      <c r="B6" s="8">
        <v>10</v>
      </c>
      <c r="C6" s="8">
        <v>127</v>
      </c>
      <c r="D6" s="8">
        <v>232</v>
      </c>
      <c r="E6" s="9">
        <v>359</v>
      </c>
      <c r="F6" s="22">
        <v>0.15474137931034479</v>
      </c>
      <c r="G6" s="8">
        <v>141</v>
      </c>
      <c r="H6" s="23">
        <v>35.9</v>
      </c>
      <c r="I6" s="23">
        <v>14.1</v>
      </c>
    </row>
    <row r="7" spans="1:9" ht="21" customHeight="1" x14ac:dyDescent="0.35">
      <c r="A7" s="21" t="s">
        <v>20</v>
      </c>
      <c r="B7" s="8">
        <v>4</v>
      </c>
      <c r="C7" s="8">
        <v>106</v>
      </c>
      <c r="D7" s="8">
        <v>86</v>
      </c>
      <c r="E7" s="9">
        <v>192</v>
      </c>
      <c r="F7" s="22">
        <v>8.2758620689655171E-2</v>
      </c>
      <c r="G7" s="8">
        <v>42</v>
      </c>
      <c r="H7" s="23">
        <v>48</v>
      </c>
      <c r="I7" s="23">
        <v>10.5</v>
      </c>
    </row>
    <row r="8" spans="1:9" ht="21" customHeight="1" x14ac:dyDescent="0.35">
      <c r="A8" s="21" t="s">
        <v>101</v>
      </c>
      <c r="B8" s="8">
        <v>2</v>
      </c>
      <c r="C8" s="8">
        <v>22</v>
      </c>
      <c r="D8" s="8">
        <v>11</v>
      </c>
      <c r="E8" s="9">
        <v>33</v>
      </c>
      <c r="F8" s="22">
        <v>1.422413793103448E-2</v>
      </c>
      <c r="G8" s="8">
        <v>13</v>
      </c>
      <c r="H8" s="23">
        <v>16.5</v>
      </c>
      <c r="I8" s="23">
        <v>6.5</v>
      </c>
    </row>
    <row r="9" spans="1:9" ht="21" customHeight="1" x14ac:dyDescent="0.35">
      <c r="A9" s="21" t="s">
        <v>155</v>
      </c>
      <c r="B9" s="8">
        <v>1</v>
      </c>
      <c r="C9" s="8">
        <v>0</v>
      </c>
      <c r="D9" s="8">
        <v>2</v>
      </c>
      <c r="E9" s="9">
        <v>2</v>
      </c>
      <c r="F9" s="22">
        <v>8.6206896551724137E-4</v>
      </c>
      <c r="G9" s="8">
        <v>2</v>
      </c>
      <c r="H9" s="23">
        <v>2</v>
      </c>
      <c r="I9" s="23">
        <v>2</v>
      </c>
    </row>
    <row r="10" spans="1:9" ht="24" customHeight="1" x14ac:dyDescent="0.4">
      <c r="A10" s="10" t="s">
        <v>193</v>
      </c>
      <c r="B10" s="13">
        <f t="shared" ref="B10:G10" si="0">SUM(B4:B9)</f>
        <v>64</v>
      </c>
      <c r="C10" s="13">
        <f t="shared" si="0"/>
        <v>1557</v>
      </c>
      <c r="D10" s="13">
        <f t="shared" si="0"/>
        <v>763</v>
      </c>
      <c r="E10" s="13">
        <f t="shared" si="0"/>
        <v>2320</v>
      </c>
      <c r="F10" s="24">
        <f t="shared" si="0"/>
        <v>1.0000000000000002</v>
      </c>
      <c r="G10" s="13">
        <f t="shared" si="0"/>
        <v>875</v>
      </c>
      <c r="H10" s="25">
        <f>AVERAGE(H4:H9)</f>
        <v>29.255902777777777</v>
      </c>
      <c r="I10" s="25">
        <f>AVERAGE(I4:I9)</f>
        <v>9.969444444444445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Ranking Geral - Volume</vt:lpstr>
      <vt:lpstr>Ranking Geral - Clientes</vt:lpstr>
      <vt:lpstr>Por Filial e Supervisor</vt:lpstr>
      <vt:lpstr>Resumo Filiais</vt:lpstr>
      <vt:lpstr>'Ranking Geral - Volume'!Titulos_de_impressao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Power Bi</cp:lastModifiedBy>
  <cp:lastPrinted>2026-09-11T18:23:44Z</cp:lastPrinted>
  <dcterms:created xsi:type="dcterms:W3CDTF">2026-09-11T18:08:47Z</dcterms:created>
  <dcterms:modified xsi:type="dcterms:W3CDTF">2026-09-11T18:30:27Z</dcterms:modified>
</cp:coreProperties>
</file>